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<sst xmlns="http://schemas.openxmlformats.org/spreadsheetml/2006/main" count="600" uniqueCount="326">
  <si>
    <t xml:space="preserve">Age of Birds in Weeks</t>
  </si>
  <si>
    <t xml:space="preserve">54</t>
  </si>
  <si>
    <t xml:space="preserve">55</t>
  </si>
  <si>
    <t xml:space="preserve">58</t>
  </si>
  <si>
    <t xml:space="preserve">59</t>
  </si>
  <si>
    <t xml:space="preserve">62</t>
  </si>
  <si>
    <t xml:space="preserve">66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</si>
  <si>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</si>
  <si>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</si>
  <si>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</si>
  <si>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</si>
  <si>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</si>
  <si>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 weeks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</si>
  <si>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</si>
  <si>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</si>
  <si>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</si>
  <si>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</si>
  <si>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</si>
  <si>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</si>
  <si>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</si>
  <si>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</si>
  <si>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</si>
  <si>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</si>
  <si>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</si>
  <si>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Weather Conditions</t>
  </si>
  <si>
    <t xml:space="preserve">25-12-2024</t>
  </si>
  <si>
    <t xml:space="preserve">26-12-2024</t>
  </si>
  <si>
    <t xml:space="preserve">27-12-2024</t>
  </si>
  <si>
    <t xml:space="preserve">28-12-2024</t>
  </si>
  <si>
    <t xml:space="preserve">29-12-2024</t>
  </si>
  <si>
    <t xml:space="preserve">30-12-2024</t>
  </si>
  <si>
    <t xml:space="preserve">31-12-2024</t>
  </si>
  <si>
    <t xml:space="preserve">01-01-2025</t>
  </si>
  <si>
    <t xml:space="preserve">02-01-2025</t>
  </si>
  <si>
    <t xml:space="preserve">03-01-2025</t>
  </si>
  <si>
    <t xml:space="preserve">04-01-2025</t>
  </si>
  <si>
    <t xml:space="preserve">05-01-2025</t>
  </si>
  <si>
    <t xml:space="preserve">06-01-2025</t>
  </si>
  <si>
    <t xml:space="preserve">07-01-2025</t>
  </si>
  <si>
    <t xml:space="preserve">08-01-2025</t>
  </si>
  <si>
    <t xml:space="preserve">09-01-2025</t>
  </si>
  <si>
    <t xml:space="preserve">10-01-2025</t>
  </si>
  <si>
    <t xml:space="preserve">11-01-2025</t>
  </si>
  <si>
    <t xml:space="preserve">12-01-2025</t>
  </si>
  <si>
    <t xml:space="preserve">13-01-2025</t>
  </si>
  <si>
    <t xml:space="preserve">14-01-2025</t>
  </si>
  <si>
    <t xml:space="preserve">15-01-2025</t>
  </si>
  <si>
    <t xml:space="preserve">16-01-2025</t>
  </si>
  <si>
    <t xml:space="preserve">17-01-2025</t>
  </si>
  <si>
    <t xml:space="preserve">18-01-2025</t>
  </si>
  <si>
    <t xml:space="preserve">19-01-2025</t>
  </si>
  <si>
    <t xml:space="preserve">20-01-2025</t>
  </si>
  <si>
    <t xml:space="preserve">21-01-2025</t>
  </si>
  <si>
    <t xml:space="preserve">22-01-2025</t>
  </si>
  <si>
    <t xml:space="preserve">23-01-2025</t>
  </si>
  <si>
    <t xml:space="preserve">24-01-2025</t>
  </si>
  <si>
    <t xml:space="preserve">25-01-2025</t>
  </si>
  <si>
    <t xml:space="preserve">26-01-2025</t>
  </si>
  <si>
    <t xml:space="preserve">27-01-2025</t>
  </si>
  <si>
    <t xml:space="preserve">28-01-2025</t>
  </si>
  <si>
    <t xml:space="preserve">29-01-2025</t>
  </si>
  <si>
    <t xml:space="preserve">30-01-2025</t>
  </si>
  <si>
    <t xml:space="preserve">31-01-2025</t>
  </si>
  <si>
    <t xml:space="preserve">01-02-2025</t>
  </si>
  <si>
    <t xml:space="preserve">02-02-2025</t>
  </si>
  <si>
    <t xml:space="preserve">03-02-2025</t>
  </si>
  <si>
    <t xml:space="preserve">04-02-2025</t>
  </si>
  <si>
    <t xml:space="preserve">05-02-2025</t>
  </si>
  <si>
    <t xml:space="preserve">06-02-2025</t>
  </si>
  <si>
    <t xml:space="preserve">07-02-2025</t>
  </si>
  <si>
    <t xml:space="preserve">08-02-2025</t>
  </si>
  <si>
    <t xml:space="preserve">09-02-2025</t>
  </si>
  <si>
    <t xml:space="preserve">10-02-2025</t>
  </si>
  <si>
    <t xml:space="preserve">11-02-2025</t>
  </si>
  <si>
    <t xml:space="preserve">12-02-2025</t>
  </si>
  <si>
    <t xml:space="preserve">13-02-2025</t>
  </si>
  <si>
    <t xml:space="preserve">14-02-2025</t>
  </si>
  <si>
    <t xml:space="preserve">15-02-2025</t>
  </si>
  <si>
    <t xml:space="preserve">16-02-2025</t>
  </si>
  <si>
    <t xml:space="preserve">17-02-2025</t>
  </si>
  <si>
    <t xml:space="preserve">18-02-2025</t>
  </si>
  <si>
    <t xml:space="preserve">19-02-2025</t>
  </si>
  <si>
    <t xml:space="preserve">20-02-2025</t>
  </si>
  <si>
    <t xml:space="preserve">21-02-2025</t>
  </si>
  <si>
    <t xml:space="preserve">22-02-2025</t>
  </si>
  <si>
    <t xml:space="preserve">23-02-2025</t>
  </si>
  <si>
    <t xml:space="preserve">24-02-2025</t>
  </si>
  <si>
    <t xml:space="preserve">25-02-2025</t>
  </si>
  <si>
    <t xml:space="preserve">26-02-2025</t>
  </si>
  <si>
    <t xml:space="preserve">27-02-2025</t>
  </si>
  <si>
    <t xml:space="preserve">28-02-2025</t>
  </si>
  <si>
    <t xml:space="preserve">01-03-2025</t>
  </si>
  <si>
    <t xml:space="preserve">02-03-2025</t>
  </si>
  <si>
    <t xml:space="preserve">03-03-2025</t>
  </si>
  <si>
    <t xml:space="preserve">04-03-2025</t>
  </si>
  <si>
    <t xml:space="preserve">05-03-2025</t>
  </si>
  <si>
    <t xml:space="preserve">06-03-2025</t>
  </si>
  <si>
    <t xml:space="preserve">07-03-2025</t>
  </si>
  <si>
    <t xml:space="preserve">08-03-2025</t>
  </si>
  <si>
    <t xml:space="preserve">09-03-2025</t>
  </si>
  <si>
    <t xml:space="preserve">10-03-2025</t>
  </si>
  <si>
    <t xml:space="preserve">11-03-2025</t>
  </si>
  <si>
    <t xml:space="preserve">12-03-2025</t>
  </si>
  <si>
    <t xml:space="preserve">13-03-2025</t>
  </si>
  <si>
    <t xml:space="preserve">14-03-2025</t>
  </si>
  <si>
    <t xml:space="preserve">15-03-2025</t>
  </si>
  <si>
    <t xml:space="preserve">16-03-2025</t>
  </si>
  <si>
    <t xml:space="preserve">17-03-2025</t>
  </si>
  <si>
    <t xml:space="preserve">18-03-2025</t>
  </si>
  <si>
    <t xml:space="preserve">19-03-2025</t>
  </si>
  <si>
    <t xml:space="preserve">20-03-2025</t>
  </si>
  <si>
    <t xml:space="preserve">21-03-2025</t>
  </si>
  <si>
    <t xml:space="preserve">22-03-2025</t>
  </si>
  <si>
    <t xml:space="preserve">23-03-2025</t>
  </si>
  <si>
    <t xml:space="preserve">24-03-2025</t>
  </si>
  <si>
    <t xml:space="preserve">25-03-2025</t>
  </si>
  <si>
    <t xml:space="preserve">26-03-2025</t>
  </si>
  <si>
    <t xml:space="preserve">27-03-2025</t>
  </si>
  <si>
    <t xml:space="preserve">28-03-2025</t>
  </si>
  <si>
    <t xml:space="preserve">29-03-2025</t>
  </si>
  <si>
    <t xml:space="preserve">30-03-2025</t>
  </si>
  <si>
    <t xml:space="preserve">31-03-2025</t>
  </si>
  <si>
    <t xml:space="preserve">01-04-2025</t>
  </si>
  <si>
    <t xml:space="preserve">02-04-2025</t>
  </si>
  <si>
    <t xml:space="preserve">03-04-2025</t>
  </si>
  <si>
    <t xml:space="preserve">04-04-2025</t>
  </si>
  <si>
    <t xml:space="preserve">05-04-2025</t>
  </si>
  <si>
    <t xml:space="preserve">06-04-2025</t>
  </si>
  <si>
    <t xml:space="preserve">07-04-2025</t>
  </si>
  <si>
    <t xml:space="preserve">08-04-2025</t>
  </si>
  <si>
    <t xml:space="preserve">09-04-2025</t>
  </si>
  <si>
    <t xml:space="preserve">10-04-2025</t>
  </si>
  <si>
    <t xml:space="preserve">11-04-2025</t>
  </si>
  <si>
    <t xml:space="preserve">12-04-2025</t>
  </si>
  <si>
    <t xml:space="preserve">13-04-2025</t>
  </si>
  <si>
    <t xml:space="preserve">14-04-2025</t>
  </si>
  <si>
    <t xml:space="preserve">15-04-2025</t>
  </si>
  <si>
    <t xml:space="preserve">16-04-2025</t>
  </si>
  <si>
    <t xml:space="preserve">17-04-2025</t>
  </si>
  <si>
    <t xml:space="preserve">18-04-2025</t>
  </si>
  <si>
    <t xml:space="preserve">19-04-2025</t>
  </si>
  <si>
    <t xml:space="preserve">20-04-2025</t>
  </si>
  <si>
    <t xml:space="preserve">21-04-2025</t>
  </si>
  <si>
    <t xml:space="preserve">22-04-2025</t>
  </si>
  <si>
    <t xml:space="preserve">23-04-2025</t>
  </si>
  <si>
    <t xml:space="preserve">24-04-2025</t>
  </si>
  <si>
    <t xml:space="preserve">25-04-2025</t>
  </si>
  <si>
    <t xml:space="preserve">26-04-2025</t>
  </si>
  <si>
    <t xml:space="preserve">27-04-2025</t>
  </si>
  <si>
    <t xml:space="preserve">28-04-2025</t>
  </si>
  <si>
    <t xml:space="preserve">29-04-2025</t>
  </si>
  <si>
    <t xml:space="preserve">30-04-2025</t>
  </si>
  <si>
    <t xml:space="preserve">01-05-2025</t>
  </si>
  <si>
    <t xml:space="preserve">02-05-2025</t>
  </si>
  <si>
    <t xml:space="preserve">03-05-2025</t>
  </si>
  <si>
    <t xml:space="preserve">04-05-2026</t>
  </si>
  <si>
    <t xml:space="preserve">05-05-2026</t>
  </si>
  <si>
    <t xml:space="preserve">06-05-2025</t>
  </si>
  <si>
    <t xml:space="preserve">07-05-2025</t>
  </si>
  <si>
    <t xml:space="preserve">08-05-2025</t>
  </si>
  <si>
    <t xml:space="preserve">09-05-2025</t>
  </si>
  <si>
    <t xml:space="preserve">10-05-2025</t>
  </si>
  <si>
    <t xml:space="preserve">11-05-2025</t>
  </si>
  <si>
    <t xml:space="preserve">12-05-2025</t>
  </si>
  <si>
    <t xml:space="preserve">13-05-2025</t>
  </si>
  <si>
    <t xml:space="preserve">14-05-2025</t>
  </si>
  <si>
    <t xml:space="preserve">15-05-2025</t>
  </si>
  <si>
    <t xml:space="preserve">16-05-2025</t>
  </si>
  <si>
    <t xml:space="preserve">17-05-2025</t>
  </si>
  <si>
    <t xml:space="preserve">18-05-2025</t>
  </si>
  <si>
    <t xml:space="preserve">19-05-2025</t>
  </si>
  <si>
    <t xml:space="preserve">20-05-2025</t>
  </si>
  <si>
    <t xml:space="preserve">21-05-2025</t>
  </si>
  <si>
    <t xml:space="preserve">22-05-2025</t>
  </si>
  <si>
    <t xml:space="preserve">23-05-25</t>
  </si>
  <si>
    <t xml:space="preserve">24-05-2025</t>
  </si>
  <si>
    <t xml:space="preserve">25-05-2025</t>
  </si>
  <si>
    <t xml:space="preserve">26-05-2025</t>
  </si>
  <si>
    <t xml:space="preserve">27-05-2025</t>
  </si>
  <si>
    <t xml:space="preserve">28-05-2025</t>
  </si>
  <si>
    <t xml:space="preserve">29-05-2025</t>
  </si>
  <si>
    <t xml:space="preserve">30-05-2025</t>
  </si>
  <si>
    <t xml:space="preserve">31-05-2025</t>
  </si>
  <si>
    <t xml:space="preserve">01-06-2025</t>
  </si>
  <si>
    <t xml:space="preserve">02-06-2025</t>
  </si>
  <si>
    <t xml:space="preserve">03-06-2025</t>
  </si>
  <si>
    <t xml:space="preserve">04-06-2025</t>
  </si>
  <si>
    <t xml:space="preserve">05-06-2025</t>
  </si>
  <si>
    <t xml:space="preserve">06-06-2025</t>
  </si>
  <si>
    <t xml:space="preserve">07-06-2025</t>
  </si>
  <si>
    <t xml:space="preserve">08-06-2025</t>
  </si>
  <si>
    <t xml:space="preserve">09-06-2025</t>
  </si>
  <si>
    <t xml:space="preserve">10-06-2025</t>
  </si>
  <si>
    <t xml:space="preserve">11-06-2025</t>
  </si>
  <si>
    <t xml:space="preserve">12-06-2025</t>
  </si>
  <si>
    <t xml:space="preserve">13-06-2025</t>
  </si>
  <si>
    <t xml:space="preserve">14-06-2025</t>
  </si>
  <si>
    <t xml:space="preserve">15-06-2025</t>
  </si>
  <si>
    <t xml:space="preserve">16-06-2025</t>
  </si>
  <si>
    <t xml:space="preserve">17-06-2025</t>
  </si>
  <si>
    <t xml:space="preserve">18-06-2025</t>
  </si>
  <si>
    <t xml:space="preserve">19-06-2025</t>
  </si>
  <si>
    <t xml:space="preserve">20-06-2025</t>
  </si>
  <si>
    <t xml:space="preserve">21-06-2025</t>
  </si>
  <si>
    <t xml:space="preserve">22-06-2025</t>
  </si>
  <si>
    <t xml:space="preserve">23-06-2025</t>
  </si>
  <si>
    <t xml:space="preserve">24-06-2025</t>
  </si>
  <si>
    <t xml:space="preserve">25-06-2025</t>
  </si>
  <si>
    <t xml:space="preserve">26-06-2025</t>
  </si>
  <si>
    <t xml:space="preserve">27-06-2025</t>
  </si>
  <si>
    <t xml:space="preserve">28-06-2025</t>
  </si>
  <si>
    <t xml:space="preserve">29-06-2025</t>
  </si>
  <si>
    <t xml:space="preserve">30-06-2025</t>
  </si>
  <si>
    <t xml:space="preserve">01-07-2025</t>
  </si>
  <si>
    <t xml:space="preserve">02-0702025</t>
  </si>
  <si>
    <t xml:space="preserve">03-07-2025</t>
  </si>
  <si>
    <t xml:space="preserve">04-07-2025</t>
  </si>
  <si>
    <t xml:space="preserve">05-07-2025</t>
  </si>
  <si>
    <t xml:space="preserve">06-07-2025</t>
  </si>
  <si>
    <t xml:space="preserve">07-07-2025</t>
  </si>
  <si>
    <t xml:space="preserve">08-07-2025</t>
  </si>
  <si>
    <t xml:space="preserve">09-07-2025</t>
  </si>
  <si>
    <t xml:space="preserve">10-07-2025</t>
  </si>
  <si>
    <t xml:space="preserve">11-07-2025</t>
  </si>
  <si>
    <t xml:space="preserve">12-07-2025</t>
  </si>
  <si>
    <t xml:space="preserve">13-07-2025</t>
  </si>
  <si>
    <t xml:space="preserve">14-07-2025</t>
  </si>
  <si>
    <t xml:space="preserve">15-07-2025</t>
  </si>
  <si>
    <t xml:space="preserve">16-07-2025</t>
  </si>
  <si>
    <t xml:space="preserve">17-07-2025</t>
  </si>
  <si>
    <t xml:space="preserve">18-07-2025</t>
  </si>
  <si>
    <t xml:space="preserve">19-07-2025</t>
  </si>
  <si>
    <t xml:space="preserve">20-07-2025</t>
  </si>
  <si>
    <t xml:space="preserve">21-07-2025</t>
  </si>
  <si>
    <t xml:space="preserve">22-07-2025</t>
  </si>
  <si>
    <t xml:space="preserve">23-07-2025</t>
  </si>
  <si>
    <t xml:space="preserve">24-07-2025</t>
  </si>
  <si>
    <t xml:space="preserve">25-07-2025</t>
  </si>
  <si>
    <t xml:space="preserve">26-07-2025</t>
  </si>
  <si>
    <t xml:space="preserve">27-07-2027</t>
  </si>
  <si>
    <t xml:space="preserve">28-07-2025</t>
  </si>
  <si>
    <t xml:space="preserve">29-07-2025</t>
  </si>
  <si>
    <t xml:space="preserve">30-07-2025</t>
  </si>
  <si>
    <t xml:space="preserve">31-07-2025</t>
  </si>
  <si>
    <t xml:space="preserve">01-08-2025</t>
  </si>
  <si>
    <t xml:space="preserve">02-08-2024</t>
  </si>
  <si>
    <t xml:space="preserve">03-08-2025</t>
  </si>
  <si>
    <t xml:space="preserve">04-08-2025</t>
  </si>
  <si>
    <t xml:space="preserve">05-08-2025</t>
  </si>
  <si>
    <t xml:space="preserve">06-08-2025</t>
  </si>
  <si>
    <t xml:space="preserve">07-08-2025</t>
  </si>
  <si>
    <t xml:space="preserve">08-08-2025</t>
  </si>
  <si>
    <t xml:space="preserve">09-08-2025</t>
  </si>
  <si>
    <t xml:space="preserve">10-08-2025</t>
  </si>
  <si>
    <t xml:space="preserve">11-08-2025</t>
  </si>
  <si>
    <t xml:space="preserve">12-08-2025</t>
  </si>
  <si>
    <t xml:space="preserve">13-08-2025</t>
  </si>
  <si>
    <t xml:space="preserve">14-08-2025</t>
  </si>
  <si>
    <t xml:space="preserve">15-08-2025</t>
  </si>
  <si>
    <t xml:space="preserve">16-08-2025</t>
  </si>
  <si>
    <t xml:space="preserve">17-08-2025</t>
  </si>
  <si>
    <t xml:space="preserve">18-08-2025</t>
  </si>
  <si>
    <t xml:space="preserve">19-08-2025</t>
  </si>
  <si>
    <t xml:space="preserve">20-08-2025</t>
  </si>
  <si>
    <t xml:space="preserve">21-08-2025</t>
  </si>
  <si>
    <t xml:space="preserve">22-08-2025</t>
  </si>
  <si>
    <t xml:space="preserve">23-08-2025</t>
  </si>
  <si>
    <t xml:space="preserve">24-08-2025</t>
  </si>
  <si>
    <t xml:space="preserve">25-08-2025</t>
  </si>
  <si>
    <t xml:space="preserve">26-08-2025</t>
  </si>
  <si>
    <t xml:space="preserve">27-08-2025</t>
  </si>
  <si>
    <t xml:space="preserve">28-08-2025</t>
  </si>
  <si>
    <t xml:space="preserve">29-08-2025</t>
  </si>
  <si>
    <t xml:space="preserve">30-08-2025</t>
  </si>
  <si>
    <t xml:space="preserve">31-08-2025</t>
  </si>
  <si>
    <t xml:space="preserve">01-09-2025</t>
  </si>
  <si>
    <t xml:space="preserve">02-09-2025</t>
  </si>
  <si>
    <t xml:space="preserve">Column 255</t>
  </si>
  <si>
    <t xml:space="preserve">03-09-2025</t>
  </si>
  <si>
    <t xml:space="preserve">Column 256</t>
  </si>
  <si>
    <t xml:space="preserve">Column 257</t>
  </si>
  <si>
    <t xml:space="preserve">Column 258</t>
  </si>
  <si>
    <t xml:space="preserve">Column 259</t>
  </si>
  <si>
    <t xml:space="preserve">Column 260</t>
  </si>
  <si>
    <t xml:space="preserve">Nasarawa High (°C)</t>
  </si>
  <si>
    <t xml:space="preserve">Nasarawa Low (°C)</t>
  </si>
  <si>
    <t xml:space="preserve">Nasarawa Relative Humidity (%)</t>
  </si>
  <si>
    <t xml:space="preserve">Nasarawa Sunshine Hours (h)</t>
  </si>
  <si>
    <t xml:space="preserve">Nasarawa Rainfall (mm)</t>
  </si>
  <si>
    <t xml:space="preserve">cage no</t>
  </si>
  <si>
    <t xml:space="preserve">D4</t>
  </si>
  <si>
    <t xml:space="preserve">E3</t>
  </si>
  <si>
    <t xml:space="preserve">E5</t>
  </si>
  <si>
    <t xml:space="preserve">E4</t>
  </si>
  <si>
    <t xml:space="preserve">E6</t>
  </si>
  <si>
    <t xml:space="preserve">-</t>
  </si>
  <si>
    <t xml:space="preserve">F1</t>
  </si>
  <si>
    <t xml:space="preserve">F3</t>
  </si>
  <si>
    <t xml:space="preserve">F5</t>
  </si>
  <si>
    <t xml:space="preserve">F6</t>
  </si>
  <si>
    <t xml:space="preserve">dewormed</t>
  </si>
  <si>
    <t xml:space="preserve">47 crates</t>
  </si>
  <si>
    <t xml:space="preserve">4 crates sold</t>
  </si>
  <si>
    <t xml:space="preserve">46 creates sold</t>
  </si>
  <si>
    <t xml:space="preserve">50 crates sold</t>
  </si>
  <si>
    <t xml:space="preserve">70 crates sold</t>
  </si>
  <si>
    <t xml:space="preserve">7 crates to Mummy</t>
  </si>
  <si>
    <t xml:space="preserve">43 Crates to Dollar</t>
  </si>
  <si>
    <t xml:space="preserve">5 crates to Mummy</t>
  </si>
  <si>
    <t xml:space="preserve">35 crates to Dollar</t>
  </si>
  <si>
    <t xml:space="preserve">7 crates Mummy</t>
  </si>
  <si>
    <t xml:space="preserve">43 crates Dollar Pharmacy</t>
  </si>
  <si>
    <t xml:space="preserve">5 crates mummy marther</t>
  </si>
  <si>
    <t xml:space="preserve">10 crates Nwe buyers</t>
  </si>
  <si>
    <t xml:space="preserve">35 crates Dollar pharmacy</t>
  </si>
  <si>
    <t xml:space="preserve">65 crates mummy</t>
  </si>
  <si>
    <t xml:space="preserve">5 crates Hajia</t>
  </si>
  <si>
    <t xml:space="preserve">26 crates to dollar pharmacey</t>
  </si>
  <si>
    <t xml:space="preserve">4 crates Mummy</t>
  </si>
  <si>
    <t xml:space="preserve">5 crates mummy mariam</t>
  </si>
  <si>
    <t xml:space="preserve">Total Daily Collected </t>
  </si>
  <si>
    <t xml:space="preserve">cracks and broken eggs</t>
  </si>
  <si>
    <t xml:space="preserve"> </t>
  </si>
  <si>
    <t xml:space="preserve">sold 6</t>
  </si>
  <si>
    <t xml:space="preserve">37 sold</t>
  </si>
  <si>
    <t xml:space="preserve">8 creates to mummy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</si>
</sst>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\-dd\-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0"/>
      <color theme="1"/>
      <name val="Roboto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ily_Layer_Performance_" displayName="Daily_Layer_Performance_" ref="A10:IZ24" headerRowCount="1" totalsRowCount="0" totalsRowShown="0">
  <tableColumns count="260">
    <tableColumn id="1" name="cage no"/>
    <tableColumn id="2" name="25-12-2024"/>
    <tableColumn id="3" name="26-12-2024"/>
    <tableColumn id="4" name="27-12-2024"/>
    <tableColumn id="5" name="28-12-2024"/>
    <tableColumn id="6" name="29-12-2024"/>
    <tableColumn id="7" name="30-12-2024"/>
    <tableColumn id="8" name="31-12-2024"/>
    <tableColumn id="9" name="01-01-2025"/>
    <tableColumn id="10" name="02-01-2025"/>
    <tableColumn id="11" name="03-01-2025"/>
    <tableColumn id="12" name="04-01-2025"/>
    <tableColumn id="13" name="05-01-2025"/>
    <tableColumn id="14" name="06-01-2025"/>
    <tableColumn id="15" name="07-01-2025"/>
    <tableColumn id="16" name="08-01-2025"/>
    <tableColumn id="17" name="09-01-2025"/>
    <tableColumn id="18" name="10-01-2025"/>
    <tableColumn id="19" name="11-01-2025"/>
    <tableColumn id="20" name="12-01-2025"/>
    <tableColumn id="21" name="13-01-2025"/>
    <tableColumn id="22" name="14-01-2025"/>
    <tableColumn id="23" name="15-01-2025"/>
    <tableColumn id="24" name="16-01-2025"/>
    <tableColumn id="25" name="17-01-2025"/>
    <tableColumn id="26" name="18-01-2025"/>
    <tableColumn id="27" name="19-01-2025"/>
    <tableColumn id="28" name="20-01-2025"/>
    <tableColumn id="29" name="21-01-2025"/>
    <tableColumn id="30" name="22-01-2025"/>
    <tableColumn id="31" name="23-01-2025"/>
    <tableColumn id="32" name="24-01-2025"/>
    <tableColumn id="33" name="25-01-2025"/>
    <tableColumn id="34" name="26-01-2025"/>
    <tableColumn id="35" name="27-01-2025"/>
    <tableColumn id="36" name="28-01-2025"/>
    <tableColumn id="37" name="29-01-2025"/>
    <tableColumn id="38" name="30-01-2025"/>
    <tableColumn id="39" name="31-01-2025"/>
    <tableColumn id="40" name="01-02-2025"/>
    <tableColumn id="41" name="02-02-2025"/>
    <tableColumn id="42" name="03-02-2025"/>
    <tableColumn id="43" name="04-02-2025"/>
    <tableColumn id="44" name="05-02-2025"/>
    <tableColumn id="45" name="06-02-2025"/>
    <tableColumn id="46" name="07-02-2025"/>
    <tableColumn id="47" name="08-02-2025"/>
    <tableColumn id="48" name="09-02-2025"/>
    <tableColumn id="49" name="10-02-2025"/>
    <tableColumn id="50" name="11-02-2025"/>
    <tableColumn id="51" name="12-02-2025"/>
    <tableColumn id="52" name="13-02-2025"/>
    <tableColumn id="53" name="14-02-2025"/>
    <tableColumn id="54" name="15-02-2025"/>
    <tableColumn id="55" name="16-02-2025"/>
    <tableColumn id="56" name="17-02-2025"/>
    <tableColumn id="57" name="18-02-2025"/>
    <tableColumn id="58" name="19-02-2025"/>
    <tableColumn id="59" name="20-02-2025"/>
    <tableColumn id="60" name="21-02-2025"/>
    <tableColumn id="61" name="22-02-2025"/>
    <tableColumn id="62" name="23-02-2025"/>
    <tableColumn id="63" name="24-02-2025"/>
    <tableColumn id="64" name="25-02-2025"/>
    <tableColumn id="65" name="26-02-2025"/>
    <tableColumn id="66" name="27-02-2025"/>
    <tableColumn id="67" name="28-02-2025"/>
    <tableColumn id="68" name="01-03-2025"/>
    <tableColumn id="69" name="02-03-2025"/>
    <tableColumn id="70" name="03-03-2025"/>
    <tableColumn id="71" name="04-03-2025"/>
    <tableColumn id="72" name="05-03-2025"/>
    <tableColumn id="73" name="06-03-2025"/>
    <tableColumn id="74" name="07-03-2025"/>
    <tableColumn id="75" name="08-03-2025"/>
    <tableColumn id="76" name="09-03-2025"/>
    <tableColumn id="77" name="10-03-2025"/>
    <tableColumn id="78" name="11-03-2025"/>
    <tableColumn id="79" name="12-03-2025"/>
    <tableColumn id="80" name="13-03-2025"/>
    <tableColumn id="81" name="14-03-2025"/>
    <tableColumn id="82" name="15-03-2025"/>
    <tableColumn id="83" name="16-03-2025"/>
    <tableColumn id="84" name="17-03-2025"/>
    <tableColumn id="85" name="18-03-2025"/>
    <tableColumn id="86" name="19-03-2025"/>
    <tableColumn id="87" name="20-03-2025"/>
    <tableColumn id="88" name="21-03-2025"/>
    <tableColumn id="89" name="22-03-2025"/>
    <tableColumn id="90" name="23-03-2025"/>
    <tableColumn id="91" name="24-03-2025"/>
    <tableColumn id="92" name="25-03-2025"/>
    <tableColumn id="93" name="26-03-2025"/>
    <tableColumn id="94" name="27-03-2025"/>
    <tableColumn id="95" name="28-03-2025"/>
    <tableColumn id="96" name="29-03-2025"/>
    <tableColumn id="97" name="30-03-2025"/>
    <tableColumn id="98" name="31-03-2025"/>
    <tableColumn id="99" name="01-04-2025"/>
    <tableColumn id="100" name="02-04-2025"/>
    <tableColumn id="101" name="03-04-2025"/>
    <tableColumn id="102" name="04-04-2025"/>
    <tableColumn id="103" name="05-04-2025"/>
    <tableColumn id="104" name="06-04-2025"/>
    <tableColumn id="105" name="07-04-2025"/>
    <tableColumn id="106" name="08-04-2025"/>
    <tableColumn id="107" name="09-04-2025"/>
    <tableColumn id="108" name="10-04-2025"/>
    <tableColumn id="109" name="11-04-2025"/>
    <tableColumn id="110" name="12-04-2025"/>
    <tableColumn id="111" name="13-04-2025"/>
    <tableColumn id="112" name="14-04-2025"/>
    <tableColumn id="113" name="15-04-2025"/>
    <tableColumn id="114" name="16-04-2025"/>
    <tableColumn id="115" name="17-04-2025"/>
    <tableColumn id="116" name="18-04-2025"/>
    <tableColumn id="117" name="19-04-2025"/>
    <tableColumn id="118" name="20-04-2025"/>
    <tableColumn id="119" name="21-04-2025"/>
    <tableColumn id="120" name="22-04-2025"/>
    <tableColumn id="121" name="23-04-2025"/>
    <tableColumn id="122" name="24-04-2025"/>
    <tableColumn id="123" name="25-04-2025"/>
    <tableColumn id="124" name="26-04-2025"/>
    <tableColumn id="125" name="27-04-2025"/>
    <tableColumn id="126" name="28-04-2025"/>
    <tableColumn id="127" name="29-04-2025"/>
    <tableColumn id="128" name="30-04-2025"/>
    <tableColumn id="129" name="01-05-2025"/>
    <tableColumn id="130" name="02-05-2025"/>
    <tableColumn id="131" name="03-05-2025"/>
    <tableColumn id="132" name="04-05-2026"/>
    <tableColumn id="133" name="05-05-2026"/>
    <tableColumn id="134" name="06-05-2025"/>
    <tableColumn id="135" name="07-05-2025"/>
    <tableColumn id="136" name="08-05-2025"/>
    <tableColumn id="137" name="09-05-2025"/>
    <tableColumn id="138" name="10-05-2025"/>
    <tableColumn id="139" name="11-05-2025"/>
    <tableColumn id="140" name="12-05-2025"/>
    <tableColumn id="141" name="13-05-2025"/>
    <tableColumn id="142" name="14-05-2025"/>
    <tableColumn id="143" name="15-05-2025"/>
    <tableColumn id="144" name="16-05-2025"/>
    <tableColumn id="145" name="17-05-2025"/>
    <tableColumn id="146" name="18-05-2025"/>
    <tableColumn id="147" name="19-05-2025"/>
    <tableColumn id="148" name="20-05-2025"/>
    <tableColumn id="149" name="21-05-2025"/>
    <tableColumn id="150" name="22-05-2025"/>
    <tableColumn id="151" name="23-05-25"/>
    <tableColumn id="152" name="24-05-2025"/>
    <tableColumn id="153" name="25-05-2025"/>
    <tableColumn id="154" name="26-05-2025"/>
    <tableColumn id="155" name="27-05-2025"/>
    <tableColumn id="156" name="28-05-2025"/>
    <tableColumn id="157" name="29-05-2025"/>
    <tableColumn id="158" name="30-05-2025"/>
    <tableColumn id="159" name="31-05-2025"/>
    <tableColumn id="160" name="01-06-2025"/>
    <tableColumn id="161" name="02-06-2025"/>
    <tableColumn id="162" name="03-06-2025"/>
    <tableColumn id="163" name="04-06-2025"/>
    <tableColumn id="164" name="05-06-2025"/>
    <tableColumn id="165" name="06-06-2025"/>
    <tableColumn id="166" name="07-06-2025"/>
    <tableColumn id="167" name="08-06-2025"/>
    <tableColumn id="168" name="09-06-2025"/>
    <tableColumn id="169" name="10-06-2025"/>
    <tableColumn id="170" name="11-06-2025"/>
    <tableColumn id="171" name="12-06-2025"/>
    <tableColumn id="172" name="13-06-2025"/>
    <tableColumn id="173" name="14-06-2025"/>
    <tableColumn id="174" name="15-06-2025"/>
    <tableColumn id="175" name="16-06-2025"/>
    <tableColumn id="176" name="17-06-2025"/>
    <tableColumn id="177" name="18-06-2025"/>
    <tableColumn id="178" name="19-06-2025"/>
    <tableColumn id="179" name="20-06-2025"/>
    <tableColumn id="180" name="21-06-2025"/>
    <tableColumn id="181" name="22-06-2025"/>
    <tableColumn id="182" name="23-06-2025"/>
    <tableColumn id="183" name="24-06-2025"/>
    <tableColumn id="184" name="25-06-2025"/>
    <tableColumn id="185" name="26-06-2025"/>
    <tableColumn id="186" name="27-06-2025"/>
    <tableColumn id="187" name="28-06-2025"/>
    <tableColumn id="188" name="29-06-2025"/>
    <tableColumn id="189" name="30-06-2025"/>
    <tableColumn id="190" name="01-07-2025"/>
    <tableColumn id="191" name="02-0702025"/>
    <tableColumn id="192" name="03-07-2025"/>
    <tableColumn id="193" name="04-07-2025"/>
    <tableColumn id="194" name="05-07-2025"/>
    <tableColumn id="195" name="06-07-2025"/>
    <tableColumn id="196" name="07-07-2025"/>
    <tableColumn id="197" name="08-07-2025"/>
    <tableColumn id="198" name="09-07-2025"/>
    <tableColumn id="199" name="10-07-2025"/>
    <tableColumn id="200" name="11-07-2025"/>
    <tableColumn id="201" name="12-07-2025"/>
    <tableColumn id="202" name="13-07-2025"/>
    <tableColumn id="203" name="14-07-2025"/>
    <tableColumn id="204" name="15-07-2025"/>
    <tableColumn id="205" name="16-07-2025"/>
    <tableColumn id="206" name="17-07-2025"/>
    <tableColumn id="207" name="18-07-2025"/>
    <tableColumn id="208" name="19-07-2025"/>
    <tableColumn id="209" name="20-07-2025"/>
    <tableColumn id="210" name="21-07-2025"/>
    <tableColumn id="211" name="22-07-2025"/>
    <tableColumn id="212" name="23-07-2025"/>
    <tableColumn id="213" name="24-07-2025"/>
    <tableColumn id="214" name="25-07-2025"/>
    <tableColumn id="215" name="26-07-2025"/>
    <tableColumn id="216" name="27-07-2027"/>
    <tableColumn id="217" name="28-07-2025"/>
    <tableColumn id="218" name="29-07-2025"/>
    <tableColumn id="219" name="30-07-2025"/>
    <tableColumn id="220" name="31-07-2025"/>
    <tableColumn id="221" name="01-08-2025"/>
    <tableColumn id="222" name="02-08-2024"/>
    <tableColumn id="223" name="03-08-2025"/>
    <tableColumn id="224" name="04-08-2025"/>
    <tableColumn id="225" name="05-08-2025"/>
    <tableColumn id="226" name="06-08-2025"/>
    <tableColumn id="227" name="07-08-2025"/>
    <tableColumn id="228" name="08-08-2025"/>
    <tableColumn id="229" name="09-08-2025"/>
    <tableColumn id="230" name="10-08-2025"/>
    <tableColumn id="231" name="11-08-2025"/>
    <tableColumn id="232" name="12-08-2025"/>
    <tableColumn id="233" name="13-08-2025"/>
    <tableColumn id="234" name="14-08-2025"/>
    <tableColumn id="235" name="15-08-2025"/>
    <tableColumn id="236" name="16-08-2025"/>
    <tableColumn id="237" name="17-08-2025"/>
    <tableColumn id="238" name="18-08-2025"/>
    <tableColumn id="239" name="19-08-2025"/>
    <tableColumn id="240" name="20-08-2025"/>
    <tableColumn id="241" name="21-08-2025"/>
    <tableColumn id="242" name="22-08-2025"/>
    <tableColumn id="243" name="23-08-2025"/>
    <tableColumn id="244" name="24-08-2025"/>
    <tableColumn id="245" name="25-08-2025"/>
    <tableColumn id="246" name="26-08-2025"/>
    <tableColumn id="247" name="27-08-2025"/>
    <tableColumn id="248" name="28-08-2025"/>
    <tableColumn id="249" name="29-08-2025"/>
    <tableColumn id="250" name="30-08-2025"/>
    <tableColumn id="251" name="31-08-2025"/>
    <tableColumn id="252" name="01-09-2025"/>
    <tableColumn id="253" name="02-09-2025"/>
    <tableColumn id="254" name="Column 255"/>
    <tableColumn id="255" name="03-09-2025"/>
    <tableColumn id="256" name="Column 256"/>
    <tableColumn id="257" name="Column 257"/>
    <tableColumn id="258" name="Column 258"/>
    <tableColumn id="259" name="Column 259"/>
    <tableColumn id="260" name="Column 260"/>
  </tableColumns>
</table>
</file>

<file path=xl/tables/table2.xml><?xml version="1.0" encoding="utf-8"?>
<table xmlns="http://schemas.openxmlformats.org/spreadsheetml/2006/main" id="2" name="Daily_Temprature_records_" displayName="Daily_Temprature_records_" ref="A3:IZ8" headerRowCount="1" totalsRowCount="0" totalsRowShown="0">
  <tableColumns count="260">
    <tableColumn id="1" name="Weather Conditions"/>
    <tableColumn id="2" name="25-12-2024"/>
    <tableColumn id="3" name="26-12-2024"/>
    <tableColumn id="4" name="27-12-2024"/>
    <tableColumn id="5" name="28-12-2024"/>
    <tableColumn id="6" name="29-12-2024"/>
    <tableColumn id="7" name="30-12-2024"/>
    <tableColumn id="8" name="31-12-2024"/>
    <tableColumn id="9" name="01-01-2025"/>
    <tableColumn id="10" name="02-01-2025"/>
    <tableColumn id="11" name="03-01-2025"/>
    <tableColumn id="12" name="04-01-2025"/>
    <tableColumn id="13" name="05-01-2025"/>
    <tableColumn id="14" name="06-01-2025"/>
    <tableColumn id="15" name="07-01-2025"/>
    <tableColumn id="16" name="08-01-2025"/>
    <tableColumn id="17" name="09-01-2025"/>
    <tableColumn id="18" name="10-01-2025"/>
    <tableColumn id="19" name="11-01-2025"/>
    <tableColumn id="20" name="12-01-2025"/>
    <tableColumn id="21" name="13-01-2025"/>
    <tableColumn id="22" name="14-01-2025"/>
    <tableColumn id="23" name="15-01-2025"/>
    <tableColumn id="24" name="16-01-2025"/>
    <tableColumn id="25" name="17-01-2025"/>
    <tableColumn id="26" name="18-01-2025"/>
    <tableColumn id="27" name="19-01-2025"/>
    <tableColumn id="28" name="20-01-2025"/>
    <tableColumn id="29" name="21-01-2025"/>
    <tableColumn id="30" name="22-01-2025"/>
    <tableColumn id="31" name="23-01-2025"/>
    <tableColumn id="32" name="24-01-2025"/>
    <tableColumn id="33" name="25-01-2025"/>
    <tableColumn id="34" name="26-01-2025"/>
    <tableColumn id="35" name="27-01-2025"/>
    <tableColumn id="36" name="28-01-2025"/>
    <tableColumn id="37" name="29-01-2025"/>
    <tableColumn id="38" name="30-01-2025"/>
    <tableColumn id="39" name="31-01-2025"/>
    <tableColumn id="40" name="01-02-2025"/>
    <tableColumn id="41" name="02-02-2025"/>
    <tableColumn id="42" name="03-02-2025"/>
    <tableColumn id="43" name="04-02-2025"/>
    <tableColumn id="44" name="05-02-2025"/>
    <tableColumn id="45" name="06-02-2025"/>
    <tableColumn id="46" name="07-02-2025"/>
    <tableColumn id="47" name="08-02-2025"/>
    <tableColumn id="48" name="09-02-2025"/>
    <tableColumn id="49" name="10-02-2025"/>
    <tableColumn id="50" name="11-02-2025"/>
    <tableColumn id="51" name="12-02-2025"/>
    <tableColumn id="52" name="13-02-2025"/>
    <tableColumn id="53" name="14-02-2025"/>
    <tableColumn id="54" name="15-02-2025"/>
    <tableColumn id="55" name="16-02-2025"/>
    <tableColumn id="56" name="17-02-2025"/>
    <tableColumn id="57" name="18-02-2025"/>
    <tableColumn id="58" name="19-02-2025"/>
    <tableColumn id="59" name="20-02-2025"/>
    <tableColumn id="60" name="21-02-2025"/>
    <tableColumn id="61" name="22-02-2025"/>
    <tableColumn id="62" name="23-02-2025"/>
    <tableColumn id="63" name="24-02-2025"/>
    <tableColumn id="64" name="25-02-2025"/>
    <tableColumn id="65" name="26-02-2025"/>
    <tableColumn id="66" name="27-02-2025"/>
    <tableColumn id="67" name="28-02-2025"/>
    <tableColumn id="68" name="01-03-2025"/>
    <tableColumn id="69" name="02-03-2025"/>
    <tableColumn id="70" name="03-03-2025"/>
    <tableColumn id="71" name="04-03-2025"/>
    <tableColumn id="72" name="05-03-2025"/>
    <tableColumn id="73" name="06-03-2025"/>
    <tableColumn id="74" name="07-03-2025"/>
    <tableColumn id="75" name="08-03-2025"/>
    <tableColumn id="76" name="09-03-2025"/>
    <tableColumn id="77" name="10-03-2025"/>
    <tableColumn id="78" name="11-03-2025"/>
    <tableColumn id="79" name="12-03-2025"/>
    <tableColumn id="80" name="13-03-2025"/>
    <tableColumn id="81" name="14-03-2025"/>
    <tableColumn id="82" name="15-03-2025"/>
    <tableColumn id="83" name="16-03-2025"/>
    <tableColumn id="84" name="17-03-2025"/>
    <tableColumn id="85" name="18-03-2025"/>
    <tableColumn id="86" name="19-03-2025"/>
    <tableColumn id="87" name="20-03-2025"/>
    <tableColumn id="88" name="21-03-2025"/>
    <tableColumn id="89" name="22-03-2025"/>
    <tableColumn id="90" name="23-03-2025"/>
    <tableColumn id="91" name="24-03-2025"/>
    <tableColumn id="92" name="25-03-2025"/>
    <tableColumn id="93" name="26-03-2025"/>
    <tableColumn id="94" name="27-03-2025"/>
    <tableColumn id="95" name="28-03-2025"/>
    <tableColumn id="96" name="29-03-2025"/>
    <tableColumn id="97" name="30-03-2025"/>
    <tableColumn id="98" name="31-03-2025"/>
    <tableColumn id="99" name="01-04-2025"/>
    <tableColumn id="100" name="02-04-2025"/>
    <tableColumn id="101" name="03-04-2025"/>
    <tableColumn id="102" name="04-04-2025"/>
    <tableColumn id="103" name="05-04-2025"/>
    <tableColumn id="104" name="06-04-2025"/>
    <tableColumn id="105" name="07-04-2025"/>
    <tableColumn id="106" name="08-04-2025"/>
    <tableColumn id="107" name="09-04-2025"/>
    <tableColumn id="108" name="10-04-2025"/>
    <tableColumn id="109" name="11-04-2025"/>
    <tableColumn id="110" name="12-04-2025"/>
    <tableColumn id="111" name="13-04-2025"/>
    <tableColumn id="112" name="14-04-2025"/>
    <tableColumn id="113" name="15-04-2025"/>
    <tableColumn id="114" name="16-04-2025"/>
    <tableColumn id="115" name="17-04-2025"/>
    <tableColumn id="116" name="18-04-2025"/>
    <tableColumn id="117" name="19-04-2025"/>
    <tableColumn id="118" name="20-04-2025"/>
    <tableColumn id="119" name="21-04-2025"/>
    <tableColumn id="120" name="22-04-2025"/>
    <tableColumn id="121" name="23-04-2025"/>
    <tableColumn id="122" name="24-04-2025"/>
    <tableColumn id="123" name="25-04-2025"/>
    <tableColumn id="124" name="26-04-2025"/>
    <tableColumn id="125" name="27-04-2025"/>
    <tableColumn id="126" name="28-04-2025"/>
    <tableColumn id="127" name="29-04-2025"/>
    <tableColumn id="128" name="30-04-2025"/>
    <tableColumn id="129" name="01-05-2025"/>
    <tableColumn id="130" name="02-05-2025"/>
    <tableColumn id="131" name="03-05-2025"/>
    <tableColumn id="132" name="04-05-2026"/>
    <tableColumn id="133" name="05-05-2026"/>
    <tableColumn id="134" name="06-05-2025"/>
    <tableColumn id="135" name="07-05-2025"/>
    <tableColumn id="136" name="08-05-2025"/>
    <tableColumn id="137" name="09-05-2025"/>
    <tableColumn id="138" name="10-05-2025"/>
    <tableColumn id="139" name="11-05-2025"/>
    <tableColumn id="140" name="12-05-2025"/>
    <tableColumn id="141" name="13-05-2025"/>
    <tableColumn id="142" name="14-05-2025"/>
    <tableColumn id="143" name="15-05-2025"/>
    <tableColumn id="144" name="16-05-2025"/>
    <tableColumn id="145" name="17-05-2025"/>
    <tableColumn id="146" name="18-05-2025"/>
    <tableColumn id="147" name="19-05-2025"/>
    <tableColumn id="148" name="20-05-2025"/>
    <tableColumn id="149" name="21-05-2025"/>
    <tableColumn id="150" name="22-05-2025"/>
    <tableColumn id="151" name="23-05-25"/>
    <tableColumn id="152" name="24-05-2025"/>
    <tableColumn id="153" name="25-05-2025"/>
    <tableColumn id="154" name="26-05-2025"/>
    <tableColumn id="155" name="27-05-2025"/>
    <tableColumn id="156" name="28-05-2025"/>
    <tableColumn id="157" name="29-05-2025"/>
    <tableColumn id="158" name="30-05-2025"/>
    <tableColumn id="159" name="31-05-2025"/>
    <tableColumn id="160" name="01-06-2025"/>
    <tableColumn id="161" name="02-06-2025"/>
    <tableColumn id="162" name="03-06-2025"/>
    <tableColumn id="163" name="04-06-2025"/>
    <tableColumn id="164" name="05-06-2025"/>
    <tableColumn id="165" name="06-06-2025"/>
    <tableColumn id="166" name="07-06-2025"/>
    <tableColumn id="167" name="08-06-2025"/>
    <tableColumn id="168" name="09-06-2025"/>
    <tableColumn id="169" name="10-06-2025"/>
    <tableColumn id="170" name="11-06-2025"/>
    <tableColumn id="171" name="12-06-2025"/>
    <tableColumn id="172" name="13-06-2025"/>
    <tableColumn id="173" name="14-06-2025"/>
    <tableColumn id="174" name="15-06-2025"/>
    <tableColumn id="175" name="16-06-2025"/>
    <tableColumn id="176" name="17-06-2025"/>
    <tableColumn id="177" name="18-06-2025"/>
    <tableColumn id="178" name="19-06-2025"/>
    <tableColumn id="179" name="20-06-2025"/>
    <tableColumn id="180" name="21-06-2025"/>
    <tableColumn id="181" name="22-06-2025"/>
    <tableColumn id="182" name="23-06-2025"/>
    <tableColumn id="183" name="24-06-2025"/>
    <tableColumn id="184" name="25-06-2025"/>
    <tableColumn id="185" name="26-06-2025"/>
    <tableColumn id="186" name="27-06-2025"/>
    <tableColumn id="187" name="28-06-2025"/>
    <tableColumn id="188" name="29-06-2025"/>
    <tableColumn id="189" name="30-06-2025"/>
    <tableColumn id="190" name="01-07-2025"/>
    <tableColumn id="191" name="02-0702025"/>
    <tableColumn id="192" name="03-07-2025"/>
    <tableColumn id="193" name="04-07-2025"/>
    <tableColumn id="194" name="05-07-2025"/>
    <tableColumn id="195" name="06-07-2025"/>
    <tableColumn id="196" name="07-07-2025"/>
    <tableColumn id="197" name="08-07-2025"/>
    <tableColumn id="198" name="09-07-2025"/>
    <tableColumn id="199" name="10-07-2025"/>
    <tableColumn id="200" name="11-07-2025"/>
    <tableColumn id="201" name="12-07-2025"/>
    <tableColumn id="202" name="13-07-2025"/>
    <tableColumn id="203" name="14-07-2025"/>
    <tableColumn id="204" name="15-07-2025"/>
    <tableColumn id="205" name="16-07-2025"/>
    <tableColumn id="206" name="17-07-2025"/>
    <tableColumn id="207" name="18-07-2025"/>
    <tableColumn id="208" name="19-07-2025"/>
    <tableColumn id="209" name="20-07-2025"/>
    <tableColumn id="210" name="21-07-2025"/>
    <tableColumn id="211" name="22-07-2025"/>
    <tableColumn id="212" name="23-07-2025"/>
    <tableColumn id="213" name="24-07-2025"/>
    <tableColumn id="214" name="25-07-2025"/>
    <tableColumn id="215" name="26-07-2025"/>
    <tableColumn id="216" name="27-07-2027"/>
    <tableColumn id="217" name="28-07-2025"/>
    <tableColumn id="218" name="29-07-2025"/>
    <tableColumn id="219" name="30-07-2025"/>
    <tableColumn id="220" name="31-07-2025"/>
    <tableColumn id="221" name="01-08-2025"/>
    <tableColumn id="222" name="02-08-2024"/>
    <tableColumn id="223" name="03-08-2025"/>
    <tableColumn id="224" name="04-08-2025"/>
    <tableColumn id="225" name="05-08-2025"/>
    <tableColumn id="226" name="06-08-2025"/>
    <tableColumn id="227" name="07-08-2025"/>
    <tableColumn id="228" name="08-08-2025"/>
    <tableColumn id="229" name="09-08-2025"/>
    <tableColumn id="230" name="10-08-2025"/>
    <tableColumn id="231" name="11-08-2025"/>
    <tableColumn id="232" name="12-08-2025"/>
    <tableColumn id="233" name="13-08-2025"/>
    <tableColumn id="234" name="14-08-2025"/>
    <tableColumn id="235" name="15-08-2025"/>
    <tableColumn id="236" name="16-08-2025"/>
    <tableColumn id="237" name="17-08-2025"/>
    <tableColumn id="238" name="18-08-2025"/>
    <tableColumn id="239" name="19-08-2025"/>
    <tableColumn id="240" name="20-08-2025"/>
    <tableColumn id="241" name="21-08-2025"/>
    <tableColumn id="242" name="22-08-2025"/>
    <tableColumn id="243" name="23-08-2025"/>
    <tableColumn id="244" name="24-08-2025"/>
    <tableColumn id="245" name="25-08-2025"/>
    <tableColumn id="246" name="26-08-2025"/>
    <tableColumn id="247" name="27-08-2025"/>
    <tableColumn id="248" name="28-08-2025"/>
    <tableColumn id="249" name="29-08-2025"/>
    <tableColumn id="250" name="30-08-2025"/>
    <tableColumn id="251" name="31-08-2025"/>
    <tableColumn id="252" name="01-09-2025"/>
    <tableColumn id="253" name="02-09-2025"/>
    <tableColumn id="254" name="Column 255"/>
    <tableColumn id="255" name="03-09-2025"/>
    <tableColumn id="256" name="Column 256"/>
    <tableColumn id="257" name="Column 257"/>
    <tableColumn id="258" name="Column 258"/>
    <tableColumn id="259" name="Column 259"/>
    <tableColumn id="260" name="Column 260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IZ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24" activeCellId="0" sqref="A2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7.38"/>
    <col collapsed="false" customWidth="true" hidden="false" outlineLevel="0" max="2" min="2" style="0" width="13"/>
    <col collapsed="false" customWidth="true" hidden="false" outlineLevel="0" max="3" min="3" style="0" width="10.63"/>
    <col collapsed="false" customWidth="true" hidden="false" outlineLevel="0" max="4" min="4" style="0" width="9.38"/>
    <col collapsed="false" customWidth="true" hidden="false" outlineLevel="0" max="5" min="5" style="0" width="7.88"/>
    <col collapsed="false" customWidth="true" hidden="false" outlineLevel="0" max="6" min="6" style="0" width="11.38"/>
    <col collapsed="false" customWidth="true" hidden="false" outlineLevel="0" max="7" min="7" style="0" width="11.63"/>
    <col collapsed="false" customWidth="true" hidden="false" outlineLevel="0" max="8" min="8" style="0" width="6.51"/>
    <col collapsed="false" customWidth="true" hidden="false" outlineLevel="0" max="9" min="9" style="0" width="10.63"/>
    <col collapsed="false" customWidth="true" hidden="false" outlineLevel="0" max="10" min="10" style="0" width="4.75"/>
    <col collapsed="false" customWidth="true" hidden="false" outlineLevel="0" max="11" min="11" style="0" width="5.13"/>
    <col collapsed="false" customWidth="true" hidden="false" outlineLevel="0" max="12" min="12" style="0" width="5.25"/>
    <col collapsed="false" customWidth="true" hidden="false" outlineLevel="0" max="13" min="13" style="0" width="5.63"/>
    <col collapsed="false" customWidth="true" hidden="false" outlineLevel="0" max="14" min="14" style="0" width="5.25"/>
    <col collapsed="false" customWidth="true" hidden="false" outlineLevel="0" max="15" min="15" style="0" width="4.88"/>
    <col collapsed="false" customWidth="true" hidden="false" outlineLevel="0" max="16" min="16" style="0" width="5.13"/>
    <col collapsed="false" customWidth="true" hidden="false" outlineLevel="0" max="17" min="17" style="0" width="4.63"/>
    <col collapsed="false" customWidth="true" hidden="false" outlineLevel="0" max="18" min="18" style="0" width="4"/>
    <col collapsed="false" customWidth="true" hidden="false" outlineLevel="0" max="19" min="19" style="0" width="5.51"/>
    <col collapsed="false" customWidth="true" hidden="false" outlineLevel="0" max="20" min="20" style="0" width="6.38"/>
    <col collapsed="false" customWidth="true" hidden="false" outlineLevel="0" max="21" min="21" style="0" width="9.88"/>
    <col collapsed="false" customWidth="true" hidden="false" outlineLevel="0" max="23" min="22" style="0" width="9.13"/>
    <col collapsed="false" customWidth="true" hidden="false" outlineLevel="0" max="24" min="24" style="0" width="8.38"/>
    <col collapsed="false" customWidth="true" hidden="false" outlineLevel="0" max="25" min="25" style="0" width="8.5"/>
    <col collapsed="false" customWidth="true" hidden="false" outlineLevel="0" max="26" min="26" style="0" width="8.88"/>
    <col collapsed="false" customWidth="true" hidden="false" outlineLevel="0" max="27" min="27" style="0" width="7.75"/>
    <col collapsed="false" customWidth="true" hidden="false" outlineLevel="0" max="28" min="28" style="0" width="8.5"/>
    <col collapsed="false" customWidth="true" hidden="false" outlineLevel="0" max="29" min="29" style="0" width="7.63"/>
    <col collapsed="false" customWidth="true" hidden="false" outlineLevel="0" max="30" min="30" style="0" width="6.38"/>
    <col collapsed="false" customWidth="true" hidden="false" outlineLevel="0" max="31" min="31" style="0" width="5.75"/>
    <col collapsed="false" customWidth="true" hidden="false" outlineLevel="0" max="33" min="32" style="0" width="4.5"/>
    <col collapsed="false" customWidth="true" hidden="false" outlineLevel="0" max="34" min="34" style="0" width="4.75"/>
    <col collapsed="false" customWidth="true" hidden="false" outlineLevel="0" max="35" min="35" style="0" width="10.38"/>
    <col collapsed="false" customWidth="true" hidden="false" outlineLevel="0" max="37" min="36" style="0" width="11.89"/>
    <col collapsed="false" customWidth="true" hidden="false" outlineLevel="0" max="38" min="38" style="0" width="13.25"/>
    <col collapsed="false" customWidth="true" hidden="false" outlineLevel="0" max="39" min="39" style="0" width="7.88"/>
    <col collapsed="false" customWidth="true" hidden="false" outlineLevel="0" max="260" min="40" style="0" width="13.25"/>
  </cols>
  <sheetData>
    <row r="1" customFormat="false" ht="15.75" hidden="false" customHeight="false" outlineLevel="0" collapsed="false">
      <c r="A1" s="1" t="s">
        <v>0</v>
      </c>
      <c r="B1" s="2" t="n">
        <v>53</v>
      </c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  <c r="N1" s="3"/>
      <c r="O1" s="3"/>
      <c r="P1" s="3"/>
      <c r="Q1" s="3" t="s">
        <v>2</v>
      </c>
      <c r="R1" s="3"/>
      <c r="S1" s="3"/>
      <c r="T1" s="3"/>
      <c r="U1" s="3"/>
      <c r="V1" s="3"/>
      <c r="W1" s="3"/>
      <c r="X1" s="3"/>
      <c r="Y1" s="2" t="n">
        <v>56</v>
      </c>
      <c r="Z1" s="2"/>
      <c r="AA1" s="2"/>
      <c r="AB1" s="2"/>
      <c r="AC1" s="2"/>
      <c r="AD1" s="2"/>
      <c r="AE1" s="2"/>
      <c r="AF1" s="2"/>
      <c r="AG1" s="2" t="n">
        <v>57</v>
      </c>
      <c r="AH1" s="2"/>
      <c r="AI1" s="2"/>
      <c r="AJ1" s="2"/>
      <c r="AK1" s="2"/>
      <c r="AL1" s="2"/>
      <c r="AM1" s="2"/>
      <c r="AN1" s="2"/>
      <c r="AO1" s="3" t="s">
        <v>3</v>
      </c>
      <c r="AP1" s="3"/>
      <c r="AQ1" s="3"/>
      <c r="AR1" s="3"/>
      <c r="AS1" s="3"/>
      <c r="AT1" s="3"/>
      <c r="AU1" s="3"/>
      <c r="AV1" s="3"/>
      <c r="AW1" s="3" t="s">
        <v>4</v>
      </c>
      <c r="AX1" s="3"/>
      <c r="AY1" s="3"/>
      <c r="AZ1" s="3"/>
      <c r="BA1" s="3"/>
      <c r="BB1" s="3"/>
      <c r="BC1" s="3"/>
      <c r="BD1" s="3"/>
      <c r="BE1" s="2" t="n">
        <v>60</v>
      </c>
      <c r="BF1" s="2"/>
      <c r="BG1" s="2"/>
      <c r="BH1" s="2"/>
      <c r="BI1" s="2"/>
      <c r="BJ1" s="2"/>
      <c r="BK1" s="2"/>
      <c r="BL1" s="2"/>
      <c r="BM1" s="2" t="n">
        <v>61</v>
      </c>
      <c r="BN1" s="2"/>
      <c r="BO1" s="2"/>
      <c r="BP1" s="2"/>
      <c r="BQ1" s="2"/>
      <c r="BR1" s="2"/>
      <c r="BS1" s="2"/>
      <c r="BT1" s="2"/>
      <c r="BU1" s="3" t="s">
        <v>5</v>
      </c>
      <c r="BV1" s="3"/>
      <c r="BW1" s="3"/>
      <c r="BX1" s="3"/>
      <c r="BY1" s="3"/>
      <c r="BZ1" s="3"/>
      <c r="CA1" s="3"/>
      <c r="CB1" s="3"/>
      <c r="CC1" s="2" t="n">
        <v>63</v>
      </c>
      <c r="CD1" s="2"/>
      <c r="CE1" s="2"/>
      <c r="CF1" s="2"/>
      <c r="CG1" s="2"/>
      <c r="CH1" s="2"/>
      <c r="CI1" s="2"/>
      <c r="CJ1" s="2"/>
      <c r="CK1" s="2" t="n">
        <v>64</v>
      </c>
      <c r="CL1" s="2"/>
      <c r="CM1" s="2"/>
      <c r="CN1" s="2"/>
      <c r="CO1" s="2"/>
      <c r="CP1" s="2"/>
      <c r="CQ1" s="2"/>
      <c r="CR1" s="2"/>
      <c r="CS1" s="2"/>
      <c r="CT1" s="2" t="n">
        <v>65</v>
      </c>
      <c r="CU1" s="2"/>
      <c r="CV1" s="2"/>
      <c r="CW1" s="2"/>
      <c r="CX1" s="2"/>
      <c r="CY1" s="2"/>
      <c r="CZ1" s="2"/>
      <c r="DA1" s="2"/>
      <c r="DB1" s="3" t="s">
        <v>6</v>
      </c>
      <c r="DC1" s="3"/>
      <c r="DD1" s="3"/>
      <c r="DE1" s="3"/>
      <c r="DF1" s="3"/>
      <c r="DG1" s="3"/>
      <c r="DH1" s="3"/>
      <c r="DI1" s="3"/>
      <c r="DJ1" s="2" t="n">
        <v>67</v>
      </c>
      <c r="DK1" s="2"/>
      <c r="DL1" s="2"/>
      <c r="DM1" s="2"/>
      <c r="DN1" s="2"/>
      <c r="DO1" s="2"/>
      <c r="DP1" s="2"/>
      <c r="DQ1" s="2"/>
      <c r="DR1" s="2" t="n">
        <v>68</v>
      </c>
      <c r="DS1" s="2"/>
      <c r="DT1" s="2"/>
      <c r="DU1" s="2"/>
      <c r="DV1" s="2"/>
      <c r="DW1" s="2"/>
      <c r="DX1" s="2"/>
      <c r="DY1" s="2"/>
      <c r="DZ1" s="3" t="s">
        <v>7</v>
      </c>
      <c r="EA1" s="3"/>
      <c r="EB1" s="3"/>
      <c r="EC1" s="3"/>
      <c r="ED1" s="3"/>
      <c r="EE1" s="3"/>
      <c r="EF1" s="3"/>
      <c r="EG1" s="3"/>
      <c r="EH1" s="3" t="s">
        <v>8</v>
      </c>
      <c r="EI1" s="3"/>
      <c r="EJ1" s="3"/>
      <c r="EK1" s="3"/>
      <c r="EL1" s="3"/>
      <c r="EM1" s="3"/>
      <c r="EN1" s="3"/>
      <c r="EO1" s="3"/>
      <c r="EP1" s="3" t="s">
        <v>9</v>
      </c>
      <c r="EQ1" s="3"/>
      <c r="ER1" s="3"/>
      <c r="ES1" s="3"/>
      <c r="ET1" s="3"/>
      <c r="EU1" s="3"/>
      <c r="EV1" s="3"/>
      <c r="EW1" s="3"/>
      <c r="EX1" s="3" t="s">
        <v>10</v>
      </c>
      <c r="EY1" s="3"/>
      <c r="EZ1" s="3"/>
      <c r="FA1" s="3"/>
      <c r="FB1" s="3"/>
      <c r="FC1" s="3"/>
      <c r="FD1" s="3"/>
      <c r="FE1" s="3" t="s">
        <v>11</v>
      </c>
      <c r="FF1" s="3"/>
      <c r="FG1" s="3"/>
      <c r="FH1" s="3"/>
      <c r="FI1" s="3"/>
      <c r="FJ1" s="3"/>
      <c r="FK1" s="3"/>
      <c r="FL1" s="3" t="s">
        <v>12</v>
      </c>
      <c r="FM1" s="3"/>
      <c r="FN1" s="3"/>
      <c r="FO1" s="3"/>
      <c r="FP1" s="3"/>
      <c r="FQ1" s="3"/>
      <c r="FR1" s="3"/>
      <c r="FS1" s="3" t="s">
        <v>13</v>
      </c>
      <c r="FT1" s="3"/>
      <c r="FU1" s="3"/>
      <c r="FV1" s="3"/>
      <c r="FW1" s="3"/>
      <c r="FX1" s="3"/>
      <c r="FY1" s="3"/>
      <c r="FZ1" s="3" t="s">
        <v>14</v>
      </c>
      <c r="GA1" s="3"/>
      <c r="GB1" s="3"/>
      <c r="GC1" s="3"/>
      <c r="GD1" s="3"/>
      <c r="GE1" s="3"/>
      <c r="GF1" s="3"/>
      <c r="GG1" s="3"/>
      <c r="GH1" s="3" t="s">
        <v>15</v>
      </c>
      <c r="GI1" s="3"/>
      <c r="GJ1" s="3"/>
      <c r="GK1" s="3"/>
      <c r="GL1" s="3"/>
      <c r="GM1" s="3"/>
      <c r="GN1" s="3"/>
      <c r="GO1" s="3"/>
      <c r="GP1" s="3"/>
      <c r="GQ1" s="3" t="s">
        <v>16</v>
      </c>
      <c r="GR1" s="3"/>
      <c r="GS1" s="3"/>
      <c r="GT1" s="3"/>
      <c r="GU1" s="3"/>
      <c r="GV1" s="3"/>
      <c r="GW1" s="3"/>
      <c r="GX1" s="3" t="s">
        <v>17</v>
      </c>
      <c r="GY1" s="3"/>
      <c r="GZ1" s="3"/>
      <c r="HA1" s="3"/>
      <c r="HB1" s="3"/>
      <c r="HC1" s="3"/>
      <c r="HD1" s="3"/>
      <c r="HE1" s="3" t="s">
        <v>18</v>
      </c>
      <c r="HF1" s="3"/>
      <c r="HG1" s="3"/>
      <c r="HH1" s="3"/>
      <c r="HI1" s="3"/>
      <c r="HJ1" s="3"/>
      <c r="HK1" s="3"/>
      <c r="HL1" s="4" t="s">
        <v>19</v>
      </c>
      <c r="HM1" s="4"/>
      <c r="HN1" s="4"/>
      <c r="HO1" s="4"/>
      <c r="HP1" s="4"/>
      <c r="HQ1" s="4"/>
      <c r="HR1" s="4"/>
      <c r="HS1" s="3" t="s">
        <v>20</v>
      </c>
      <c r="HT1" s="3"/>
      <c r="HU1" s="3"/>
      <c r="HV1" s="3"/>
      <c r="HW1" s="3"/>
      <c r="HX1" s="3"/>
      <c r="HY1" s="3"/>
      <c r="HZ1" s="3" t="s">
        <v>21</v>
      </c>
      <c r="IA1" s="3"/>
      <c r="IB1" s="3"/>
      <c r="IC1" s="3"/>
      <c r="ID1" s="3"/>
      <c r="IE1" s="3"/>
      <c r="IF1" s="3"/>
      <c r="IG1" s="3" t="s">
        <v>22</v>
      </c>
      <c r="IH1" s="3"/>
      <c r="II1" s="3"/>
      <c r="IJ1" s="3"/>
      <c r="IK1" s="3"/>
      <c r="IL1" s="3"/>
      <c r="IM1" s="3"/>
      <c r="IN1" s="3" t="s">
        <v>23</v>
      </c>
      <c r="IO1" s="3"/>
      <c r="IP1" s="3"/>
      <c r="IQ1" s="3"/>
      <c r="IR1" s="3"/>
      <c r="IS1" s="3"/>
      <c r="IT1" s="3"/>
      <c r="IU1" s="3"/>
      <c r="IV1" s="5"/>
      <c r="IW1" s="5"/>
      <c r="IX1" s="5"/>
      <c r="IY1" s="5"/>
      <c r="IZ1" s="5"/>
    </row>
    <row r="2" customFormat="false" ht="15.75" hidden="false" customHeight="false" outlineLevel="0" collapsed="false">
      <c r="A2" s="6"/>
    </row>
    <row r="3" customFormat="false" ht="22.5" hidden="false" customHeight="true" outlineLevel="0" collapsed="false">
      <c r="A3" s="7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9" t="s">
        <v>32</v>
      </c>
      <c r="J3" s="9" t="s">
        <v>33</v>
      </c>
      <c r="K3" s="9" t="s">
        <v>34</v>
      </c>
      <c r="L3" s="9" t="s">
        <v>35</v>
      </c>
      <c r="M3" s="9" t="s">
        <v>36</v>
      </c>
      <c r="N3" s="9" t="s">
        <v>37</v>
      </c>
      <c r="O3" s="9" t="s">
        <v>38</v>
      </c>
      <c r="P3" s="9" t="s">
        <v>39</v>
      </c>
      <c r="Q3" s="9" t="s">
        <v>40</v>
      </c>
      <c r="R3" s="9" t="s">
        <v>41</v>
      </c>
      <c r="S3" s="9" t="s">
        <v>42</v>
      </c>
      <c r="T3" s="9" t="s">
        <v>43</v>
      </c>
      <c r="U3" s="8" t="s">
        <v>44</v>
      </c>
      <c r="V3" s="8" t="s">
        <v>45</v>
      </c>
      <c r="W3" s="8" t="s">
        <v>46</v>
      </c>
      <c r="X3" s="8" t="s">
        <v>47</v>
      </c>
      <c r="Y3" s="8" t="s">
        <v>48</v>
      </c>
      <c r="Z3" s="8" t="s">
        <v>49</v>
      </c>
      <c r="AA3" s="8" t="s">
        <v>50</v>
      </c>
      <c r="AB3" s="8" t="s">
        <v>51</v>
      </c>
      <c r="AC3" s="8" t="s">
        <v>52</v>
      </c>
      <c r="AD3" s="8" t="s">
        <v>53</v>
      </c>
      <c r="AE3" s="8" t="s">
        <v>54</v>
      </c>
      <c r="AF3" s="8" t="s">
        <v>55</v>
      </c>
      <c r="AG3" s="8" t="s">
        <v>56</v>
      </c>
      <c r="AH3" s="8" t="s">
        <v>57</v>
      </c>
      <c r="AI3" s="8" t="s">
        <v>58</v>
      </c>
      <c r="AJ3" s="8" t="s">
        <v>59</v>
      </c>
      <c r="AK3" s="8" t="s">
        <v>60</v>
      </c>
      <c r="AL3" s="8" t="s">
        <v>61</v>
      </c>
      <c r="AM3" s="8" t="s">
        <v>62</v>
      </c>
      <c r="AN3" s="9" t="s">
        <v>63</v>
      </c>
      <c r="AO3" s="9" t="s">
        <v>64</v>
      </c>
      <c r="AP3" s="9" t="s">
        <v>65</v>
      </c>
      <c r="AQ3" s="9" t="s">
        <v>66</v>
      </c>
      <c r="AR3" s="9" t="s">
        <v>67</v>
      </c>
      <c r="AS3" s="9" t="s">
        <v>68</v>
      </c>
      <c r="AT3" s="9" t="s">
        <v>69</v>
      </c>
      <c r="AU3" s="9" t="s">
        <v>70</v>
      </c>
      <c r="AV3" s="9" t="s">
        <v>71</v>
      </c>
      <c r="AW3" s="9" t="s">
        <v>72</v>
      </c>
      <c r="AX3" s="9" t="s">
        <v>73</v>
      </c>
      <c r="AY3" s="9" t="s">
        <v>74</v>
      </c>
      <c r="AZ3" s="8" t="s">
        <v>75</v>
      </c>
      <c r="BA3" s="8" t="s">
        <v>76</v>
      </c>
      <c r="BB3" s="8" t="s">
        <v>77</v>
      </c>
      <c r="BC3" s="8" t="s">
        <v>78</v>
      </c>
      <c r="BD3" s="8" t="s">
        <v>79</v>
      </c>
      <c r="BE3" s="8" t="s">
        <v>80</v>
      </c>
      <c r="BF3" s="8" t="s">
        <v>81</v>
      </c>
      <c r="BG3" s="8" t="s">
        <v>82</v>
      </c>
      <c r="BH3" s="8" t="s">
        <v>83</v>
      </c>
      <c r="BI3" s="8" t="s">
        <v>84</v>
      </c>
      <c r="BJ3" s="8" t="s">
        <v>85</v>
      </c>
      <c r="BK3" s="8" t="s">
        <v>86</v>
      </c>
      <c r="BL3" s="8" t="s">
        <v>87</v>
      </c>
      <c r="BM3" s="8" t="s">
        <v>88</v>
      </c>
      <c r="BN3" s="8" t="s">
        <v>89</v>
      </c>
      <c r="BO3" s="8" t="s">
        <v>90</v>
      </c>
      <c r="BP3" s="9" t="s">
        <v>91</v>
      </c>
      <c r="BQ3" s="9" t="s">
        <v>92</v>
      </c>
      <c r="BR3" s="9" t="s">
        <v>93</v>
      </c>
      <c r="BS3" s="9" t="s">
        <v>94</v>
      </c>
      <c r="BT3" s="9" t="s">
        <v>95</v>
      </c>
      <c r="BU3" s="9" t="s">
        <v>96</v>
      </c>
      <c r="BV3" s="9" t="s">
        <v>97</v>
      </c>
      <c r="BW3" s="9" t="s">
        <v>98</v>
      </c>
      <c r="BX3" s="9" t="s">
        <v>99</v>
      </c>
      <c r="BY3" s="9" t="s">
        <v>100</v>
      </c>
      <c r="BZ3" s="9" t="s">
        <v>101</v>
      </c>
      <c r="CA3" s="9" t="s">
        <v>102</v>
      </c>
      <c r="CB3" s="8" t="s">
        <v>103</v>
      </c>
      <c r="CC3" s="8" t="s">
        <v>104</v>
      </c>
      <c r="CD3" s="8" t="s">
        <v>105</v>
      </c>
      <c r="CE3" s="8" t="s">
        <v>106</v>
      </c>
      <c r="CF3" s="8" t="s">
        <v>107</v>
      </c>
      <c r="CG3" s="8" t="s">
        <v>108</v>
      </c>
      <c r="CH3" s="8" t="s">
        <v>109</v>
      </c>
      <c r="CI3" s="8" t="s">
        <v>110</v>
      </c>
      <c r="CJ3" s="8" t="s">
        <v>111</v>
      </c>
      <c r="CK3" s="8" t="s">
        <v>112</v>
      </c>
      <c r="CL3" s="8" t="s">
        <v>113</v>
      </c>
      <c r="CM3" s="8" t="s">
        <v>114</v>
      </c>
      <c r="CN3" s="8" t="s">
        <v>115</v>
      </c>
      <c r="CO3" s="8" t="s">
        <v>116</v>
      </c>
      <c r="CP3" s="8" t="s">
        <v>117</v>
      </c>
      <c r="CQ3" s="8" t="s">
        <v>118</v>
      </c>
      <c r="CR3" s="8" t="s">
        <v>119</v>
      </c>
      <c r="CS3" s="8" t="s">
        <v>120</v>
      </c>
      <c r="CT3" s="8" t="s">
        <v>121</v>
      </c>
      <c r="CU3" s="9" t="s">
        <v>122</v>
      </c>
      <c r="CV3" s="9" t="s">
        <v>123</v>
      </c>
      <c r="CW3" s="9" t="s">
        <v>124</v>
      </c>
      <c r="CX3" s="9" t="s">
        <v>125</v>
      </c>
      <c r="CY3" s="9" t="s">
        <v>126</v>
      </c>
      <c r="CZ3" s="9" t="s">
        <v>127</v>
      </c>
      <c r="DA3" s="9" t="s">
        <v>128</v>
      </c>
      <c r="DB3" s="9" t="s">
        <v>129</v>
      </c>
      <c r="DC3" s="9" t="s">
        <v>130</v>
      </c>
      <c r="DD3" s="9" t="s">
        <v>131</v>
      </c>
      <c r="DE3" s="9" t="s">
        <v>132</v>
      </c>
      <c r="DF3" s="9" t="s">
        <v>133</v>
      </c>
      <c r="DG3" s="8" t="s">
        <v>134</v>
      </c>
      <c r="DH3" s="8" t="s">
        <v>135</v>
      </c>
      <c r="DI3" s="8" t="s">
        <v>136</v>
      </c>
      <c r="DJ3" s="8" t="s">
        <v>137</v>
      </c>
      <c r="DK3" s="8" t="s">
        <v>138</v>
      </c>
      <c r="DL3" s="8" t="s">
        <v>139</v>
      </c>
      <c r="DM3" s="8" t="s">
        <v>140</v>
      </c>
      <c r="DN3" s="8" t="s">
        <v>141</v>
      </c>
      <c r="DO3" s="8" t="s">
        <v>142</v>
      </c>
      <c r="DP3" s="8" t="s">
        <v>143</v>
      </c>
      <c r="DQ3" s="8" t="s">
        <v>144</v>
      </c>
      <c r="DR3" s="8" t="s">
        <v>145</v>
      </c>
      <c r="DS3" s="8" t="s">
        <v>146</v>
      </c>
      <c r="DT3" s="8" t="s">
        <v>147</v>
      </c>
      <c r="DU3" s="8" t="s">
        <v>148</v>
      </c>
      <c r="DV3" s="8" t="s">
        <v>149</v>
      </c>
      <c r="DW3" s="8" t="s">
        <v>150</v>
      </c>
      <c r="DX3" s="8" t="s">
        <v>151</v>
      </c>
      <c r="DY3" s="9" t="s">
        <v>152</v>
      </c>
      <c r="DZ3" s="9" t="s">
        <v>153</v>
      </c>
      <c r="EA3" s="9" t="s">
        <v>154</v>
      </c>
      <c r="EB3" s="9" t="s">
        <v>155</v>
      </c>
      <c r="EC3" s="9" t="s">
        <v>156</v>
      </c>
      <c r="ED3" s="9" t="s">
        <v>157</v>
      </c>
      <c r="EE3" s="9" t="s">
        <v>158</v>
      </c>
      <c r="EF3" s="9" t="s">
        <v>159</v>
      </c>
      <c r="EG3" s="9" t="s">
        <v>160</v>
      </c>
      <c r="EH3" s="9" t="s">
        <v>161</v>
      </c>
      <c r="EI3" s="9" t="s">
        <v>162</v>
      </c>
      <c r="EJ3" s="9" t="s">
        <v>163</v>
      </c>
      <c r="EK3" s="9" t="s">
        <v>164</v>
      </c>
      <c r="EL3" s="9" t="s">
        <v>165</v>
      </c>
      <c r="EM3" s="9" t="s">
        <v>166</v>
      </c>
      <c r="EN3" s="9" t="s">
        <v>167</v>
      </c>
      <c r="EO3" s="9" t="s">
        <v>168</v>
      </c>
      <c r="EP3" s="9" t="s">
        <v>169</v>
      </c>
      <c r="EQ3" s="9" t="s">
        <v>170</v>
      </c>
      <c r="ER3" s="9" t="s">
        <v>171</v>
      </c>
      <c r="ES3" s="9" t="s">
        <v>172</v>
      </c>
      <c r="ET3" s="9" t="s">
        <v>173</v>
      </c>
      <c r="EU3" s="9" t="s">
        <v>174</v>
      </c>
      <c r="EV3" s="9" t="s">
        <v>175</v>
      </c>
      <c r="EW3" s="9" t="s">
        <v>176</v>
      </c>
      <c r="EX3" s="9" t="s">
        <v>177</v>
      </c>
      <c r="EY3" s="9" t="s">
        <v>178</v>
      </c>
      <c r="EZ3" s="9" t="s">
        <v>179</v>
      </c>
      <c r="FA3" s="9" t="s">
        <v>180</v>
      </c>
      <c r="FB3" s="9" t="s">
        <v>181</v>
      </c>
      <c r="FC3" s="9" t="s">
        <v>182</v>
      </c>
      <c r="FD3" s="9" t="s">
        <v>183</v>
      </c>
      <c r="FE3" s="9" t="s">
        <v>184</v>
      </c>
      <c r="FF3" s="9" t="s">
        <v>185</v>
      </c>
      <c r="FG3" s="9" t="s">
        <v>186</v>
      </c>
      <c r="FH3" s="9" t="s">
        <v>187</v>
      </c>
      <c r="FI3" s="9" t="s">
        <v>188</v>
      </c>
      <c r="FJ3" s="9" t="s">
        <v>189</v>
      </c>
      <c r="FK3" s="9" t="s">
        <v>190</v>
      </c>
      <c r="FL3" s="9" t="s">
        <v>191</v>
      </c>
      <c r="FM3" s="9" t="s">
        <v>192</v>
      </c>
      <c r="FN3" s="9" t="s">
        <v>193</v>
      </c>
      <c r="FO3" s="9" t="s">
        <v>194</v>
      </c>
      <c r="FP3" s="9" t="s">
        <v>195</v>
      </c>
      <c r="FQ3" s="9" t="s">
        <v>196</v>
      </c>
      <c r="FR3" s="9" t="s">
        <v>197</v>
      </c>
      <c r="FS3" s="9" t="s">
        <v>198</v>
      </c>
      <c r="FT3" s="9" t="s">
        <v>199</v>
      </c>
      <c r="FU3" s="9" t="s">
        <v>200</v>
      </c>
      <c r="FV3" s="9" t="s">
        <v>201</v>
      </c>
      <c r="FW3" s="9" t="s">
        <v>202</v>
      </c>
      <c r="FX3" s="9" t="s">
        <v>203</v>
      </c>
      <c r="FY3" s="9" t="s">
        <v>204</v>
      </c>
      <c r="FZ3" s="9" t="s">
        <v>205</v>
      </c>
      <c r="GA3" s="9" t="s">
        <v>206</v>
      </c>
      <c r="GB3" s="9" t="s">
        <v>207</v>
      </c>
      <c r="GC3" s="9" t="s">
        <v>208</v>
      </c>
      <c r="GD3" s="9" t="s">
        <v>209</v>
      </c>
      <c r="GE3" s="9" t="s">
        <v>210</v>
      </c>
      <c r="GF3" s="9" t="s">
        <v>211</v>
      </c>
      <c r="GG3" s="9" t="s">
        <v>212</v>
      </c>
      <c r="GH3" s="9" t="s">
        <v>213</v>
      </c>
      <c r="GI3" s="9" t="s">
        <v>214</v>
      </c>
      <c r="GJ3" s="9" t="s">
        <v>215</v>
      </c>
      <c r="GK3" s="9" t="s">
        <v>216</v>
      </c>
      <c r="GL3" s="9" t="s">
        <v>217</v>
      </c>
      <c r="GM3" s="9" t="s">
        <v>218</v>
      </c>
      <c r="GN3" s="9" t="s">
        <v>219</v>
      </c>
      <c r="GO3" s="9" t="s">
        <v>220</v>
      </c>
      <c r="GP3" s="9" t="s">
        <v>221</v>
      </c>
      <c r="GQ3" s="9" t="s">
        <v>222</v>
      </c>
      <c r="GR3" s="9" t="s">
        <v>223</v>
      </c>
      <c r="GS3" s="9" t="s">
        <v>224</v>
      </c>
      <c r="GT3" s="9" t="s">
        <v>225</v>
      </c>
      <c r="GU3" s="9" t="s">
        <v>226</v>
      </c>
      <c r="GV3" s="9" t="s">
        <v>227</v>
      </c>
      <c r="GW3" s="9" t="s">
        <v>228</v>
      </c>
      <c r="GX3" s="9" t="s">
        <v>229</v>
      </c>
      <c r="GY3" s="9" t="s">
        <v>230</v>
      </c>
      <c r="GZ3" s="9" t="s">
        <v>231</v>
      </c>
      <c r="HA3" s="9" t="s">
        <v>232</v>
      </c>
      <c r="HB3" s="9" t="s">
        <v>233</v>
      </c>
      <c r="HC3" s="9" t="s">
        <v>234</v>
      </c>
      <c r="HD3" s="9" t="s">
        <v>235</v>
      </c>
      <c r="HE3" s="9" t="s">
        <v>236</v>
      </c>
      <c r="HF3" s="9" t="s">
        <v>237</v>
      </c>
      <c r="HG3" s="9" t="s">
        <v>238</v>
      </c>
      <c r="HH3" s="9" t="s">
        <v>239</v>
      </c>
      <c r="HI3" s="9" t="s">
        <v>240</v>
      </c>
      <c r="HJ3" s="9" t="s">
        <v>241</v>
      </c>
      <c r="HK3" s="9" t="s">
        <v>242</v>
      </c>
      <c r="HL3" s="9" t="s">
        <v>243</v>
      </c>
      <c r="HM3" s="9" t="s">
        <v>244</v>
      </c>
      <c r="HN3" s="9" t="s">
        <v>245</v>
      </c>
      <c r="HO3" s="9" t="s">
        <v>246</v>
      </c>
      <c r="HP3" s="9" t="s">
        <v>247</v>
      </c>
      <c r="HQ3" s="9" t="s">
        <v>248</v>
      </c>
      <c r="HR3" s="9" t="s">
        <v>249</v>
      </c>
      <c r="HS3" s="9" t="s">
        <v>250</v>
      </c>
      <c r="HT3" s="9" t="s">
        <v>251</v>
      </c>
      <c r="HU3" s="9" t="s">
        <v>252</v>
      </c>
      <c r="HV3" s="9" t="s">
        <v>253</v>
      </c>
      <c r="HW3" s="9" t="s">
        <v>254</v>
      </c>
      <c r="HX3" s="9" t="s">
        <v>255</v>
      </c>
      <c r="HY3" s="9" t="s">
        <v>256</v>
      </c>
      <c r="HZ3" s="9" t="s">
        <v>257</v>
      </c>
      <c r="IA3" s="9" t="s">
        <v>258</v>
      </c>
      <c r="IB3" s="9" t="s">
        <v>259</v>
      </c>
      <c r="IC3" s="9" t="s">
        <v>260</v>
      </c>
      <c r="ID3" s="9" t="s">
        <v>261</v>
      </c>
      <c r="IE3" s="9" t="s">
        <v>262</v>
      </c>
      <c r="IF3" s="9" t="s">
        <v>263</v>
      </c>
      <c r="IG3" s="9" t="s">
        <v>264</v>
      </c>
      <c r="IH3" s="9" t="s">
        <v>265</v>
      </c>
      <c r="II3" s="9" t="s">
        <v>266</v>
      </c>
      <c r="IJ3" s="9" t="s">
        <v>267</v>
      </c>
      <c r="IK3" s="9" t="s">
        <v>268</v>
      </c>
      <c r="IL3" s="9" t="s">
        <v>269</v>
      </c>
      <c r="IM3" s="9" t="s">
        <v>270</v>
      </c>
      <c r="IN3" s="9" t="s">
        <v>271</v>
      </c>
      <c r="IO3" s="9" t="s">
        <v>272</v>
      </c>
      <c r="IP3" s="9" t="s">
        <v>273</v>
      </c>
      <c r="IQ3" s="9" t="s">
        <v>274</v>
      </c>
      <c r="IR3" s="9" t="s">
        <v>275</v>
      </c>
      <c r="IS3" s="9" t="s">
        <v>276</v>
      </c>
      <c r="IT3" s="9" t="s">
        <v>277</v>
      </c>
      <c r="IU3" s="9" t="s">
        <v>278</v>
      </c>
      <c r="IV3" s="9" t="s">
        <v>279</v>
      </c>
      <c r="IW3" s="9" t="s">
        <v>280</v>
      </c>
      <c r="IX3" s="9" t="s">
        <v>281</v>
      </c>
      <c r="IY3" s="9" t="s">
        <v>282</v>
      </c>
      <c r="IZ3" s="9" t="s">
        <v>283</v>
      </c>
    </row>
    <row r="4" customFormat="false" ht="22.5" hidden="false" customHeight="true" outlineLevel="0" collapsed="false">
      <c r="A4" s="10" t="s">
        <v>284</v>
      </c>
      <c r="B4" s="11" t="n">
        <v>36</v>
      </c>
      <c r="C4" s="11" t="n">
        <v>36</v>
      </c>
      <c r="D4" s="11" t="n">
        <v>36.1</v>
      </c>
      <c r="E4" s="11" t="n">
        <v>36.1</v>
      </c>
      <c r="F4" s="11" t="n">
        <v>36.2</v>
      </c>
      <c r="G4" s="11" t="n">
        <v>36.2</v>
      </c>
      <c r="H4" s="11" t="n">
        <v>36.3</v>
      </c>
      <c r="I4" s="11" t="n">
        <v>36.3</v>
      </c>
      <c r="J4" s="11" t="n">
        <v>36.4</v>
      </c>
      <c r="K4" s="11" t="n">
        <v>36.4</v>
      </c>
      <c r="L4" s="11" t="n">
        <v>36.5</v>
      </c>
      <c r="M4" s="11" t="n">
        <v>36.5</v>
      </c>
      <c r="N4" s="11" t="n">
        <v>36.6</v>
      </c>
      <c r="O4" s="11" t="n">
        <v>36.6</v>
      </c>
      <c r="P4" s="11" t="n">
        <v>36.7</v>
      </c>
      <c r="Q4" s="11" t="n">
        <v>36.7</v>
      </c>
      <c r="R4" s="11" t="n">
        <v>36.8</v>
      </c>
      <c r="S4" s="11" t="n">
        <v>36.8</v>
      </c>
      <c r="T4" s="11" t="n">
        <v>36.9</v>
      </c>
      <c r="U4" s="11" t="n">
        <v>36.9</v>
      </c>
      <c r="V4" s="11" t="n">
        <v>37</v>
      </c>
      <c r="W4" s="11" t="n">
        <v>37</v>
      </c>
      <c r="X4" s="11" t="n">
        <v>37.1</v>
      </c>
      <c r="Y4" s="11" t="n">
        <v>37.1</v>
      </c>
      <c r="Z4" s="11" t="n">
        <v>37.2</v>
      </c>
      <c r="AA4" s="11" t="n">
        <v>37.2</v>
      </c>
      <c r="AB4" s="11" t="n">
        <v>37.3</v>
      </c>
      <c r="AC4" s="11" t="n">
        <v>37.3</v>
      </c>
      <c r="AD4" s="11" t="n">
        <v>37.4</v>
      </c>
      <c r="AE4" s="11" t="n">
        <v>37.4</v>
      </c>
      <c r="AF4" s="11" t="n">
        <v>37.5</v>
      </c>
      <c r="AG4" s="11" t="n">
        <v>37.5</v>
      </c>
      <c r="AH4" s="11" t="n">
        <v>37.6</v>
      </c>
      <c r="AI4" s="11" t="n">
        <v>37.6</v>
      </c>
      <c r="AJ4" s="11" t="n">
        <v>37.7</v>
      </c>
      <c r="AK4" s="11" t="n">
        <v>37.7</v>
      </c>
      <c r="AL4" s="11" t="n">
        <v>37.8</v>
      </c>
      <c r="AM4" s="11" t="n">
        <v>37.8</v>
      </c>
      <c r="AN4" s="11" t="n">
        <v>37.9</v>
      </c>
      <c r="AO4" s="11" t="n">
        <v>37.9</v>
      </c>
      <c r="AP4" s="11" t="n">
        <v>38</v>
      </c>
      <c r="AQ4" s="11" t="n">
        <v>38</v>
      </c>
      <c r="AR4" s="11" t="n">
        <v>38.1</v>
      </c>
      <c r="AS4" s="11" t="n">
        <v>38.1</v>
      </c>
      <c r="AT4" s="11" t="n">
        <v>38.2</v>
      </c>
      <c r="AU4" s="11" t="n">
        <v>38.2</v>
      </c>
      <c r="AV4" s="11" t="n">
        <v>38.3</v>
      </c>
      <c r="AW4" s="11" t="n">
        <v>38.3</v>
      </c>
      <c r="AX4" s="11" t="n">
        <v>38.4</v>
      </c>
      <c r="AY4" s="11" t="n">
        <v>38.4</v>
      </c>
      <c r="AZ4" s="11" t="n">
        <v>38.5</v>
      </c>
      <c r="BA4" s="11" t="n">
        <v>38.5</v>
      </c>
      <c r="BB4" s="11" t="n">
        <v>38.6</v>
      </c>
      <c r="BC4" s="11" t="n">
        <v>38.6</v>
      </c>
      <c r="BD4" s="11" t="n">
        <v>38.7</v>
      </c>
      <c r="BE4" s="11" t="n">
        <v>38.7</v>
      </c>
      <c r="BF4" s="11" t="n">
        <v>38.8</v>
      </c>
      <c r="BG4" s="11" t="n">
        <v>38.8</v>
      </c>
      <c r="BH4" s="11" t="n">
        <v>38.9</v>
      </c>
      <c r="BI4" s="11" t="n">
        <v>38.9</v>
      </c>
      <c r="BJ4" s="11" t="n">
        <v>39</v>
      </c>
      <c r="BK4" s="11" t="n">
        <v>39</v>
      </c>
      <c r="BL4" s="11" t="n">
        <v>39.1</v>
      </c>
      <c r="BM4" s="11" t="n">
        <v>39.1</v>
      </c>
      <c r="BN4" s="11" t="n">
        <v>39.2</v>
      </c>
      <c r="BO4" s="11" t="n">
        <v>39.2</v>
      </c>
      <c r="BP4" s="11" t="n">
        <v>39.3</v>
      </c>
      <c r="BQ4" s="11" t="n">
        <v>39.3</v>
      </c>
      <c r="BR4" s="11" t="n">
        <v>39.4</v>
      </c>
      <c r="BS4" s="11" t="n">
        <v>39.5</v>
      </c>
      <c r="BT4" s="11" t="n">
        <v>39.5</v>
      </c>
      <c r="BU4" s="11" t="n">
        <v>39.4</v>
      </c>
      <c r="BV4" s="11" t="n">
        <v>39.4</v>
      </c>
      <c r="BW4" s="11" t="n">
        <v>39.4</v>
      </c>
      <c r="BX4" s="11" t="n">
        <v>39.3</v>
      </c>
      <c r="BY4" s="11" t="n">
        <v>39.3</v>
      </c>
      <c r="BZ4" s="11" t="n">
        <v>39.3</v>
      </c>
      <c r="CA4" s="11" t="n">
        <v>39.2</v>
      </c>
      <c r="CB4" s="11" t="n">
        <v>39.2</v>
      </c>
      <c r="CC4" s="11" t="n">
        <v>39.2</v>
      </c>
      <c r="CD4" s="11" t="n">
        <v>39.1</v>
      </c>
      <c r="CE4" s="11" t="n">
        <v>39.1</v>
      </c>
      <c r="CF4" s="11" t="n">
        <v>39.1</v>
      </c>
      <c r="CG4" s="11" t="n">
        <v>39</v>
      </c>
      <c r="CH4" s="11" t="n">
        <v>39</v>
      </c>
      <c r="CI4" s="11" t="n">
        <v>39</v>
      </c>
      <c r="CJ4" s="11" t="n">
        <v>38.9</v>
      </c>
      <c r="CK4" s="11" t="n">
        <v>38.9</v>
      </c>
      <c r="CL4" s="11" t="n">
        <v>38.9</v>
      </c>
      <c r="CM4" s="11" t="n">
        <v>38.8</v>
      </c>
      <c r="CN4" s="11" t="n">
        <v>38.8</v>
      </c>
      <c r="CO4" s="11" t="n">
        <v>38.8</v>
      </c>
      <c r="CP4" s="11" t="n">
        <v>38.7</v>
      </c>
      <c r="CQ4" s="11" t="n">
        <v>38.7</v>
      </c>
      <c r="CR4" s="11" t="n">
        <v>38.7</v>
      </c>
      <c r="CS4" s="11" t="n">
        <v>38.6</v>
      </c>
      <c r="CT4" s="11" t="n">
        <v>38.6</v>
      </c>
      <c r="CU4" s="11" t="n">
        <v>38.5</v>
      </c>
      <c r="CV4" s="11" t="n">
        <v>38.5</v>
      </c>
      <c r="CW4" s="11" t="n">
        <v>38.5</v>
      </c>
      <c r="CX4" s="11" t="n">
        <v>38.4</v>
      </c>
      <c r="CY4" s="11" t="n">
        <v>38.4</v>
      </c>
      <c r="CZ4" s="11" t="n">
        <v>38.4</v>
      </c>
      <c r="DA4" s="11" t="n">
        <v>38.4</v>
      </c>
      <c r="DB4" s="11" t="n">
        <v>38.4</v>
      </c>
      <c r="DC4" s="11" t="n">
        <v>38.4</v>
      </c>
      <c r="DD4" s="11" t="n">
        <v>38.4</v>
      </c>
      <c r="DE4" s="11" t="n">
        <v>38.3</v>
      </c>
      <c r="DF4" s="11" t="n">
        <v>38.3</v>
      </c>
      <c r="DG4" s="11" t="n">
        <v>38.3</v>
      </c>
      <c r="DH4" s="11" t="n">
        <v>38.3</v>
      </c>
      <c r="DI4" s="11" t="n">
        <v>38.3</v>
      </c>
      <c r="DJ4" s="11" t="n">
        <v>38.3</v>
      </c>
      <c r="DK4" s="11" t="n">
        <v>38.3</v>
      </c>
      <c r="DL4" s="11" t="n">
        <v>38.3</v>
      </c>
      <c r="DM4" s="11" t="n">
        <v>38.2</v>
      </c>
      <c r="DN4" s="11" t="n">
        <v>38.2</v>
      </c>
      <c r="DO4" s="11" t="n">
        <v>38.2</v>
      </c>
      <c r="DP4" s="11" t="n">
        <v>38.2</v>
      </c>
      <c r="DQ4" s="11" t="n">
        <v>38.2</v>
      </c>
      <c r="DR4" s="11" t="n">
        <v>38.1</v>
      </c>
      <c r="DS4" s="11" t="n">
        <v>38.1</v>
      </c>
      <c r="DT4" s="11" t="n">
        <v>37.2</v>
      </c>
      <c r="DU4" s="11" t="n">
        <v>37.1</v>
      </c>
      <c r="DV4" s="11" t="n">
        <v>37</v>
      </c>
      <c r="DW4" s="11" t="n">
        <v>36.9</v>
      </c>
      <c r="DX4" s="11" t="n">
        <v>36.8</v>
      </c>
      <c r="DY4" s="11" t="n">
        <v>36.7</v>
      </c>
      <c r="DZ4" s="11" t="n">
        <v>36.6</v>
      </c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</row>
    <row r="5" customFormat="false" ht="22.5" hidden="false" customHeight="true" outlineLevel="0" collapsed="false">
      <c r="A5" s="10" t="s">
        <v>285</v>
      </c>
      <c r="B5" s="11" t="n">
        <v>21.5</v>
      </c>
      <c r="C5" s="11" t="n">
        <v>21.5</v>
      </c>
      <c r="D5" s="11" t="n">
        <v>21.4</v>
      </c>
      <c r="E5" s="11" t="n">
        <v>21.4</v>
      </c>
      <c r="F5" s="11" t="n">
        <v>21.3</v>
      </c>
      <c r="G5" s="11" t="n">
        <v>21.3</v>
      </c>
      <c r="H5" s="11" t="n">
        <v>21.2</v>
      </c>
      <c r="I5" s="11" t="n">
        <v>21.2</v>
      </c>
      <c r="J5" s="11" t="n">
        <v>21.1</v>
      </c>
      <c r="K5" s="11" t="n">
        <v>21.1</v>
      </c>
      <c r="L5" s="11" t="n">
        <v>21</v>
      </c>
      <c r="M5" s="11" t="n">
        <v>21</v>
      </c>
      <c r="N5" s="11" t="n">
        <v>21</v>
      </c>
      <c r="O5" s="11" t="n">
        <v>21</v>
      </c>
      <c r="P5" s="11" t="n">
        <v>21</v>
      </c>
      <c r="Q5" s="11" t="n">
        <v>21</v>
      </c>
      <c r="R5" s="11" t="n">
        <v>21</v>
      </c>
      <c r="S5" s="11" t="n">
        <v>21</v>
      </c>
      <c r="T5" s="11" t="n">
        <v>21</v>
      </c>
      <c r="U5" s="11" t="n">
        <v>21</v>
      </c>
      <c r="V5" s="11" t="n">
        <v>21</v>
      </c>
      <c r="W5" s="11" t="n">
        <v>21</v>
      </c>
      <c r="X5" s="11" t="n">
        <v>21.1</v>
      </c>
      <c r="Y5" s="11" t="n">
        <v>21.2</v>
      </c>
      <c r="Z5" s="11" t="n">
        <v>21.3</v>
      </c>
      <c r="AA5" s="11" t="n">
        <v>21.4</v>
      </c>
      <c r="AB5" s="11" t="n">
        <v>21.5</v>
      </c>
      <c r="AC5" s="11" t="n">
        <v>21.6</v>
      </c>
      <c r="AD5" s="11" t="n">
        <v>21.7</v>
      </c>
      <c r="AE5" s="11" t="n">
        <v>21.8</v>
      </c>
      <c r="AF5" s="11" t="n">
        <v>21.9</v>
      </c>
      <c r="AG5" s="11" t="n">
        <v>22</v>
      </c>
      <c r="AH5" s="11" t="n">
        <v>22.1</v>
      </c>
      <c r="AI5" s="11" t="n">
        <v>22.2</v>
      </c>
      <c r="AJ5" s="11" t="n">
        <v>22.3</v>
      </c>
      <c r="AK5" s="11" t="n">
        <v>22.4</v>
      </c>
      <c r="AL5" s="11" t="n">
        <v>22.5</v>
      </c>
      <c r="AM5" s="11" t="n">
        <v>22.6</v>
      </c>
      <c r="AN5" s="11" t="n">
        <v>22.7</v>
      </c>
      <c r="AO5" s="11" t="n">
        <v>22.8</v>
      </c>
      <c r="AP5" s="11" t="n">
        <v>22.9</v>
      </c>
      <c r="AQ5" s="11" t="n">
        <v>23</v>
      </c>
      <c r="AR5" s="11" t="n">
        <v>23.1</v>
      </c>
      <c r="AS5" s="11" t="n">
        <v>23.2</v>
      </c>
      <c r="AT5" s="11" t="n">
        <v>23.3</v>
      </c>
      <c r="AU5" s="11" t="n">
        <v>23.4</v>
      </c>
      <c r="AV5" s="11" t="n">
        <v>23.5</v>
      </c>
      <c r="AW5" s="11" t="n">
        <v>23.6</v>
      </c>
      <c r="AX5" s="11" t="n">
        <v>23.7</v>
      </c>
      <c r="AY5" s="11" t="n">
        <v>23.8</v>
      </c>
      <c r="AZ5" s="11" t="n">
        <v>23.9</v>
      </c>
      <c r="BA5" s="11" t="n">
        <v>24</v>
      </c>
      <c r="BB5" s="11" t="n">
        <v>24.1</v>
      </c>
      <c r="BC5" s="11" t="n">
        <v>24.2</v>
      </c>
      <c r="BD5" s="11" t="n">
        <v>24.3</v>
      </c>
      <c r="BE5" s="11" t="n">
        <v>24.4</v>
      </c>
      <c r="BF5" s="11" t="n">
        <v>24.5</v>
      </c>
      <c r="BG5" s="11" t="n">
        <v>24.6</v>
      </c>
      <c r="BH5" s="11" t="n">
        <v>24.7</v>
      </c>
      <c r="BI5" s="11" t="n">
        <v>24.8</v>
      </c>
      <c r="BJ5" s="11" t="n">
        <v>24.9</v>
      </c>
      <c r="BK5" s="11" t="n">
        <v>25</v>
      </c>
      <c r="BL5" s="11" t="n">
        <v>25.1</v>
      </c>
      <c r="BM5" s="11" t="n">
        <v>25.2</v>
      </c>
      <c r="BN5" s="11" t="n">
        <v>25.3</v>
      </c>
      <c r="BO5" s="11" t="n">
        <v>25.4</v>
      </c>
      <c r="BP5" s="11" t="n">
        <v>25.5</v>
      </c>
      <c r="BQ5" s="11" t="n">
        <v>25.6</v>
      </c>
      <c r="BR5" s="11" t="n">
        <v>25.7</v>
      </c>
      <c r="BS5" s="11" t="n">
        <v>25.3</v>
      </c>
      <c r="BT5" s="11" t="n">
        <v>25.3</v>
      </c>
      <c r="BU5" s="11" t="n">
        <v>25.4</v>
      </c>
      <c r="BV5" s="11" t="n">
        <v>25.4</v>
      </c>
      <c r="BW5" s="11" t="n">
        <v>25.5</v>
      </c>
      <c r="BX5" s="11" t="n">
        <v>25.5</v>
      </c>
      <c r="BY5" s="11" t="n">
        <v>25.6</v>
      </c>
      <c r="BZ5" s="11" t="n">
        <v>25.6</v>
      </c>
      <c r="CA5" s="11" t="n">
        <v>25.7</v>
      </c>
      <c r="CB5" s="11" t="n">
        <v>25.7</v>
      </c>
      <c r="CC5" s="11" t="n">
        <v>25.8</v>
      </c>
      <c r="CD5" s="11" t="n">
        <v>25.8</v>
      </c>
      <c r="CE5" s="11" t="n">
        <v>25.9</v>
      </c>
      <c r="CF5" s="11" t="n">
        <v>25.9</v>
      </c>
      <c r="CG5" s="11" t="n">
        <v>26</v>
      </c>
      <c r="CH5" s="11" t="n">
        <v>26</v>
      </c>
      <c r="CI5" s="11" t="n">
        <v>26.1</v>
      </c>
      <c r="CJ5" s="11" t="n">
        <v>26.1</v>
      </c>
      <c r="CK5" s="11" t="n">
        <v>26.2</v>
      </c>
      <c r="CL5" s="11" t="n">
        <v>26.2</v>
      </c>
      <c r="CM5" s="11" t="n">
        <v>26.3</v>
      </c>
      <c r="CN5" s="11" t="n">
        <v>26.3</v>
      </c>
      <c r="CO5" s="11" t="n">
        <v>26.3</v>
      </c>
      <c r="CP5" s="11" t="n">
        <v>26.3</v>
      </c>
      <c r="CQ5" s="11" t="n">
        <v>26.3</v>
      </c>
      <c r="CR5" s="11" t="n">
        <v>26.3</v>
      </c>
      <c r="CS5" s="11" t="n">
        <v>26.3</v>
      </c>
      <c r="CT5" s="11" t="n">
        <v>26.3</v>
      </c>
      <c r="CU5" s="11" t="n">
        <v>26.3</v>
      </c>
      <c r="CV5" s="11" t="n">
        <v>26.3</v>
      </c>
      <c r="CW5" s="11" t="n">
        <v>26.3</v>
      </c>
      <c r="CX5" s="11" t="n">
        <v>26.3</v>
      </c>
      <c r="CY5" s="11" t="n">
        <v>26.3</v>
      </c>
      <c r="CZ5" s="11" t="n">
        <v>26.3</v>
      </c>
      <c r="DA5" s="11" t="n">
        <v>26.3</v>
      </c>
      <c r="DB5" s="11" t="n">
        <v>26.3</v>
      </c>
      <c r="DC5" s="11" t="n">
        <v>26.3</v>
      </c>
      <c r="DD5" s="11" t="n">
        <v>26.3</v>
      </c>
      <c r="DE5" s="11" t="n">
        <v>26.3</v>
      </c>
      <c r="DF5" s="11" t="n">
        <v>26.3</v>
      </c>
      <c r="DG5" s="11" t="n">
        <v>26.3</v>
      </c>
      <c r="DH5" s="11" t="n">
        <v>26.3</v>
      </c>
      <c r="DI5" s="11" t="n">
        <v>26.3</v>
      </c>
      <c r="DJ5" s="11" t="n">
        <v>26.2</v>
      </c>
      <c r="DK5" s="11" t="n">
        <v>26.2</v>
      </c>
      <c r="DL5" s="11" t="n">
        <v>26.2</v>
      </c>
      <c r="DM5" s="11" t="n">
        <v>26.2</v>
      </c>
      <c r="DN5" s="11" t="n">
        <v>26.1</v>
      </c>
      <c r="DO5" s="11" t="n">
        <v>26.1</v>
      </c>
      <c r="DP5" s="11" t="n">
        <v>26</v>
      </c>
      <c r="DQ5" s="11" t="n">
        <v>26</v>
      </c>
      <c r="DR5" s="11" t="n">
        <v>25.9</v>
      </c>
      <c r="DS5" s="11" t="n">
        <v>25.8</v>
      </c>
      <c r="DT5" s="11" t="n">
        <v>25.3</v>
      </c>
      <c r="DU5" s="11" t="n">
        <v>25.2</v>
      </c>
      <c r="DV5" s="11" t="n">
        <v>25.2</v>
      </c>
      <c r="DW5" s="11" t="n">
        <v>25.1</v>
      </c>
      <c r="DX5" s="11" t="n">
        <v>25.1</v>
      </c>
      <c r="DY5" s="11" t="n">
        <v>25</v>
      </c>
      <c r="DZ5" s="11" t="n">
        <v>25</v>
      </c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</row>
    <row r="6" customFormat="false" ht="22.5" hidden="false" customHeight="true" outlineLevel="0" collapsed="false">
      <c r="A6" s="10" t="s">
        <v>286</v>
      </c>
      <c r="B6" s="11" t="n">
        <v>24</v>
      </c>
      <c r="C6" s="11" t="n">
        <v>24</v>
      </c>
      <c r="D6" s="11" t="n">
        <v>23.9</v>
      </c>
      <c r="E6" s="11" t="n">
        <v>23.9</v>
      </c>
      <c r="F6" s="11" t="n">
        <v>23.8</v>
      </c>
      <c r="G6" s="11" t="n">
        <v>23.8</v>
      </c>
      <c r="H6" s="11" t="n">
        <v>23.7</v>
      </c>
      <c r="I6" s="11" t="n">
        <v>23.7</v>
      </c>
      <c r="J6" s="11" t="n">
        <v>23.6</v>
      </c>
      <c r="K6" s="11" t="n">
        <v>23.6</v>
      </c>
      <c r="L6" s="11" t="n">
        <v>23.5</v>
      </c>
      <c r="M6" s="11" t="n">
        <v>23.5</v>
      </c>
      <c r="N6" s="11" t="n">
        <v>23.4</v>
      </c>
      <c r="O6" s="11" t="n">
        <v>23.4</v>
      </c>
      <c r="P6" s="11" t="n">
        <v>23.3</v>
      </c>
      <c r="Q6" s="11" t="n">
        <v>23.3</v>
      </c>
      <c r="R6" s="11" t="n">
        <v>23.2</v>
      </c>
      <c r="S6" s="11" t="n">
        <v>23.2</v>
      </c>
      <c r="T6" s="11" t="n">
        <v>23.1</v>
      </c>
      <c r="U6" s="11" t="n">
        <v>23.1</v>
      </c>
      <c r="V6" s="11" t="n">
        <v>23</v>
      </c>
      <c r="W6" s="11" t="n">
        <v>23</v>
      </c>
      <c r="X6" s="11" t="n">
        <v>22.9</v>
      </c>
      <c r="Y6" s="11" t="n">
        <v>22.8</v>
      </c>
      <c r="Z6" s="11" t="n">
        <v>22.7</v>
      </c>
      <c r="AA6" s="11" t="n">
        <v>22.6</v>
      </c>
      <c r="AB6" s="11" t="n">
        <v>22.5</v>
      </c>
      <c r="AC6" s="11" t="n">
        <v>22.4</v>
      </c>
      <c r="AD6" s="11" t="n">
        <v>22.3</v>
      </c>
      <c r="AE6" s="11" t="n">
        <v>22.2</v>
      </c>
      <c r="AF6" s="11" t="n">
        <v>22.1</v>
      </c>
      <c r="AG6" s="11" t="n">
        <v>22</v>
      </c>
      <c r="AH6" s="11" t="n">
        <v>22</v>
      </c>
      <c r="AI6" s="11" t="n">
        <v>22</v>
      </c>
      <c r="AJ6" s="11" t="n">
        <v>22</v>
      </c>
      <c r="AK6" s="11" t="n">
        <v>22</v>
      </c>
      <c r="AL6" s="11" t="n">
        <v>22</v>
      </c>
      <c r="AM6" s="11" t="n">
        <v>22.1</v>
      </c>
      <c r="AN6" s="11" t="n">
        <v>22.2</v>
      </c>
      <c r="AO6" s="11" t="n">
        <v>22.3</v>
      </c>
      <c r="AP6" s="11" t="n">
        <v>22.4</v>
      </c>
      <c r="AQ6" s="11" t="n">
        <v>22.5</v>
      </c>
      <c r="AR6" s="11" t="n">
        <v>22.6</v>
      </c>
      <c r="AS6" s="11" t="n">
        <v>22.7</v>
      </c>
      <c r="AT6" s="11" t="n">
        <v>22.8</v>
      </c>
      <c r="AU6" s="11" t="n">
        <v>22.9</v>
      </c>
      <c r="AV6" s="11" t="n">
        <v>23</v>
      </c>
      <c r="AW6" s="11" t="n">
        <v>23.1</v>
      </c>
      <c r="AX6" s="11" t="n">
        <v>23.2</v>
      </c>
      <c r="AY6" s="11" t="n">
        <v>23.3</v>
      </c>
      <c r="AZ6" s="11" t="n">
        <v>23.4</v>
      </c>
      <c r="BA6" s="11" t="n">
        <v>23.5</v>
      </c>
      <c r="BB6" s="11" t="n">
        <v>23.6</v>
      </c>
      <c r="BC6" s="11" t="n">
        <v>23.7</v>
      </c>
      <c r="BD6" s="11" t="n">
        <v>23.8</v>
      </c>
      <c r="BE6" s="11" t="n">
        <v>23.9</v>
      </c>
      <c r="BF6" s="11" t="n">
        <v>24</v>
      </c>
      <c r="BG6" s="11" t="n">
        <v>24.1</v>
      </c>
      <c r="BH6" s="11" t="n">
        <v>24.2</v>
      </c>
      <c r="BI6" s="11" t="n">
        <v>24.3</v>
      </c>
      <c r="BJ6" s="11" t="n">
        <v>24.4</v>
      </c>
      <c r="BK6" s="11" t="n">
        <v>24.5</v>
      </c>
      <c r="BL6" s="11" t="n">
        <v>24.6</v>
      </c>
      <c r="BM6" s="11" t="n">
        <v>24.7</v>
      </c>
      <c r="BN6" s="11" t="n">
        <v>24.8</v>
      </c>
      <c r="BO6" s="11" t="n">
        <v>24.9</v>
      </c>
      <c r="BP6" s="11" t="n">
        <v>25</v>
      </c>
      <c r="BQ6" s="11" t="n">
        <v>25.1</v>
      </c>
      <c r="BR6" s="11" t="n">
        <v>25.2</v>
      </c>
      <c r="BS6" s="11" t="n">
        <v>41.5</v>
      </c>
      <c r="BT6" s="11" t="n">
        <v>41.8</v>
      </c>
      <c r="BU6" s="11" t="n">
        <v>42</v>
      </c>
      <c r="BV6" s="11" t="n">
        <v>42.3</v>
      </c>
      <c r="BW6" s="11" t="n">
        <v>42.5</v>
      </c>
      <c r="BX6" s="11" t="n">
        <v>42.8</v>
      </c>
      <c r="BY6" s="11" t="n">
        <v>43</v>
      </c>
      <c r="BZ6" s="11" t="n">
        <v>43.3</v>
      </c>
      <c r="CA6" s="11" t="n">
        <v>43.5</v>
      </c>
      <c r="CB6" s="11" t="n">
        <v>43.8</v>
      </c>
      <c r="CC6" s="11" t="n">
        <v>44</v>
      </c>
      <c r="CD6" s="11" t="n">
        <v>44.3</v>
      </c>
      <c r="CE6" s="11" t="n">
        <v>44.5</v>
      </c>
      <c r="CF6" s="11" t="n">
        <v>44.8</v>
      </c>
      <c r="CG6" s="11" t="n">
        <v>45</v>
      </c>
      <c r="CH6" s="11" t="n">
        <v>45.3</v>
      </c>
      <c r="CI6" s="11" t="n">
        <v>45.5</v>
      </c>
      <c r="CJ6" s="11" t="n">
        <v>45.8</v>
      </c>
      <c r="CK6" s="11" t="n">
        <v>46</v>
      </c>
      <c r="CL6" s="11" t="n">
        <v>46.3</v>
      </c>
      <c r="CM6" s="11" t="n">
        <v>46.5</v>
      </c>
      <c r="CN6" s="11" t="n">
        <v>46.8</v>
      </c>
      <c r="CO6" s="11" t="n">
        <v>47</v>
      </c>
      <c r="CP6" s="11" t="n">
        <v>47.3</v>
      </c>
      <c r="CQ6" s="11" t="n">
        <v>47.5</v>
      </c>
      <c r="CR6" s="11" t="n">
        <v>47.8</v>
      </c>
      <c r="CS6" s="11" t="n">
        <v>48</v>
      </c>
      <c r="CT6" s="11" t="n">
        <v>48.3</v>
      </c>
      <c r="CU6" s="11" t="n">
        <v>48.5</v>
      </c>
      <c r="CV6" s="11" t="n">
        <v>48.8</v>
      </c>
      <c r="CW6" s="11" t="n">
        <v>49</v>
      </c>
      <c r="CX6" s="11" t="n">
        <v>49.3</v>
      </c>
      <c r="CY6" s="11" t="n">
        <v>49.5</v>
      </c>
      <c r="CZ6" s="11" t="n">
        <v>49.8</v>
      </c>
      <c r="DA6" s="11" t="n">
        <v>50</v>
      </c>
      <c r="DB6" s="11" t="n">
        <v>50.3</v>
      </c>
      <c r="DC6" s="11" t="n">
        <v>50.5</v>
      </c>
      <c r="DD6" s="11" t="n">
        <v>50.8</v>
      </c>
      <c r="DE6" s="11" t="n">
        <v>51</v>
      </c>
      <c r="DF6" s="11" t="n">
        <v>51.3</v>
      </c>
      <c r="DG6" s="11" t="n">
        <v>51.5</v>
      </c>
      <c r="DH6" s="11" t="n">
        <v>51.8</v>
      </c>
      <c r="DI6" s="11" t="n">
        <v>52</v>
      </c>
      <c r="DJ6" s="11" t="n">
        <v>52.5</v>
      </c>
      <c r="DK6" s="11" t="n">
        <v>53</v>
      </c>
      <c r="DL6" s="11" t="n">
        <v>53.5</v>
      </c>
      <c r="DM6" s="11" t="n">
        <v>54</v>
      </c>
      <c r="DN6" s="11" t="n">
        <v>54.5</v>
      </c>
      <c r="DO6" s="11" t="n">
        <v>54.9</v>
      </c>
      <c r="DP6" s="11" t="n">
        <v>55.4</v>
      </c>
      <c r="DQ6" s="11" t="n">
        <v>55.8</v>
      </c>
      <c r="DR6" s="11" t="n">
        <v>56.3</v>
      </c>
      <c r="DS6" s="11" t="n">
        <v>56.7</v>
      </c>
      <c r="DT6" s="11" t="n">
        <v>63.3</v>
      </c>
      <c r="DU6" s="11" t="n">
        <v>64</v>
      </c>
      <c r="DV6" s="11" t="n">
        <v>64.8</v>
      </c>
      <c r="DW6" s="11" t="n">
        <v>65.5</v>
      </c>
      <c r="DX6" s="11" t="n">
        <v>66.3</v>
      </c>
      <c r="DY6" s="11" t="n">
        <v>67</v>
      </c>
      <c r="DZ6" s="11" t="n">
        <v>67.8</v>
      </c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</row>
    <row r="7" customFormat="false" ht="22.5" hidden="false" customHeight="true" outlineLevel="0" collapsed="false">
      <c r="A7" s="10" t="s">
        <v>287</v>
      </c>
      <c r="B7" s="11" t="n">
        <v>10</v>
      </c>
      <c r="C7" s="11" t="n">
        <v>10</v>
      </c>
      <c r="D7" s="11" t="n">
        <v>10</v>
      </c>
      <c r="E7" s="11" t="n">
        <v>10</v>
      </c>
      <c r="F7" s="11" t="n">
        <v>10</v>
      </c>
      <c r="G7" s="11" t="n">
        <v>10</v>
      </c>
      <c r="H7" s="11" t="n">
        <v>10</v>
      </c>
      <c r="I7" s="11" t="n">
        <v>10</v>
      </c>
      <c r="J7" s="11" t="n">
        <v>10</v>
      </c>
      <c r="K7" s="11" t="n">
        <v>10</v>
      </c>
      <c r="L7" s="11" t="n">
        <v>10</v>
      </c>
      <c r="M7" s="11" t="n">
        <v>10</v>
      </c>
      <c r="N7" s="11" t="n">
        <v>10</v>
      </c>
      <c r="O7" s="11" t="n">
        <v>10</v>
      </c>
      <c r="P7" s="11" t="n">
        <v>10</v>
      </c>
      <c r="Q7" s="11" t="n">
        <v>10</v>
      </c>
      <c r="R7" s="11" t="n">
        <v>10</v>
      </c>
      <c r="S7" s="11" t="n">
        <v>10</v>
      </c>
      <c r="T7" s="11" t="n">
        <v>10</v>
      </c>
      <c r="U7" s="11" t="n">
        <v>10</v>
      </c>
      <c r="V7" s="11" t="n">
        <v>10</v>
      </c>
      <c r="W7" s="11" t="n">
        <v>10</v>
      </c>
      <c r="X7" s="11" t="n">
        <v>10</v>
      </c>
      <c r="Y7" s="11" t="n">
        <v>10</v>
      </c>
      <c r="Z7" s="11" t="n">
        <v>10</v>
      </c>
      <c r="AA7" s="11" t="n">
        <v>10</v>
      </c>
      <c r="AB7" s="11" t="n">
        <v>10</v>
      </c>
      <c r="AC7" s="11" t="n">
        <v>10</v>
      </c>
      <c r="AD7" s="11" t="n">
        <v>10</v>
      </c>
      <c r="AE7" s="11" t="n">
        <v>10</v>
      </c>
      <c r="AF7" s="11" t="n">
        <v>10</v>
      </c>
      <c r="AG7" s="11" t="n">
        <v>10</v>
      </c>
      <c r="AH7" s="11" t="n">
        <v>10</v>
      </c>
      <c r="AI7" s="11" t="n">
        <v>10</v>
      </c>
      <c r="AJ7" s="11" t="n">
        <v>10</v>
      </c>
      <c r="AK7" s="11" t="n">
        <v>10</v>
      </c>
      <c r="AL7" s="11" t="n">
        <v>10</v>
      </c>
      <c r="AM7" s="11" t="n">
        <v>10</v>
      </c>
      <c r="AN7" s="11" t="n">
        <v>10</v>
      </c>
      <c r="AO7" s="11" t="n">
        <v>10</v>
      </c>
      <c r="AP7" s="11" t="n">
        <v>10</v>
      </c>
      <c r="AQ7" s="11" t="n">
        <v>10</v>
      </c>
      <c r="AR7" s="11" t="n">
        <v>10</v>
      </c>
      <c r="AS7" s="11" t="n">
        <v>10</v>
      </c>
      <c r="AT7" s="11" t="n">
        <v>10</v>
      </c>
      <c r="AU7" s="11" t="n">
        <v>10</v>
      </c>
      <c r="AV7" s="11" t="n">
        <v>10</v>
      </c>
      <c r="AW7" s="11" t="n">
        <v>10</v>
      </c>
      <c r="AX7" s="11" t="n">
        <v>10</v>
      </c>
      <c r="AY7" s="11" t="n">
        <v>10</v>
      </c>
      <c r="AZ7" s="11" t="n">
        <v>10</v>
      </c>
      <c r="BA7" s="11" t="n">
        <v>10</v>
      </c>
      <c r="BB7" s="11" t="n">
        <v>10</v>
      </c>
      <c r="BC7" s="11" t="n">
        <v>10</v>
      </c>
      <c r="BD7" s="11" t="n">
        <v>10</v>
      </c>
      <c r="BE7" s="11" t="n">
        <v>10</v>
      </c>
      <c r="BF7" s="11" t="n">
        <v>10</v>
      </c>
      <c r="BG7" s="11" t="n">
        <v>10</v>
      </c>
      <c r="BH7" s="11" t="n">
        <v>10</v>
      </c>
      <c r="BI7" s="11" t="n">
        <v>10</v>
      </c>
      <c r="BJ7" s="11" t="n">
        <v>10</v>
      </c>
      <c r="BK7" s="11" t="n">
        <v>10</v>
      </c>
      <c r="BL7" s="11" t="n">
        <v>10</v>
      </c>
      <c r="BM7" s="11" t="n">
        <v>10</v>
      </c>
      <c r="BN7" s="11" t="n">
        <v>10</v>
      </c>
      <c r="BO7" s="11" t="n">
        <v>10</v>
      </c>
      <c r="BP7" s="11" t="n">
        <v>9.5</v>
      </c>
      <c r="BQ7" s="11" t="n">
        <v>9.5</v>
      </c>
      <c r="BR7" s="11" t="n">
        <v>9.5</v>
      </c>
      <c r="BS7" s="11" t="n">
        <v>9.5</v>
      </c>
      <c r="BT7" s="11" t="n">
        <v>9.5</v>
      </c>
      <c r="BU7" s="11" t="n">
        <v>9.5</v>
      </c>
      <c r="BV7" s="11" t="n">
        <v>9.5</v>
      </c>
      <c r="BW7" s="11" t="n">
        <v>9.5</v>
      </c>
      <c r="BX7" s="11" t="n">
        <v>9.5</v>
      </c>
      <c r="BY7" s="11" t="n">
        <v>9.5</v>
      </c>
      <c r="BZ7" s="11" t="n">
        <v>9.5</v>
      </c>
      <c r="CA7" s="11" t="n">
        <v>9.5</v>
      </c>
      <c r="CB7" s="11" t="n">
        <v>9.5</v>
      </c>
      <c r="CC7" s="11" t="n">
        <v>9.5</v>
      </c>
      <c r="CD7" s="11" t="n">
        <v>9.5</v>
      </c>
      <c r="CE7" s="11" t="n">
        <v>9.5</v>
      </c>
      <c r="CF7" s="11" t="n">
        <v>9.5</v>
      </c>
      <c r="CG7" s="11" t="n">
        <v>9.5</v>
      </c>
      <c r="CH7" s="11" t="n">
        <v>9.5</v>
      </c>
      <c r="CI7" s="11" t="n">
        <v>9.5</v>
      </c>
      <c r="CJ7" s="11" t="n">
        <v>9.5</v>
      </c>
      <c r="CK7" s="11" t="n">
        <v>9.5</v>
      </c>
      <c r="CL7" s="11" t="n">
        <v>9.5</v>
      </c>
      <c r="CM7" s="11" t="n">
        <v>9.5</v>
      </c>
      <c r="CN7" s="11" t="n">
        <v>9.5</v>
      </c>
      <c r="CO7" s="11" t="n">
        <v>9.5</v>
      </c>
      <c r="CP7" s="11" t="n">
        <v>9.5</v>
      </c>
      <c r="CQ7" s="11" t="n">
        <v>9.5</v>
      </c>
      <c r="CR7" s="11" t="n">
        <v>9.5</v>
      </c>
      <c r="CS7" s="11" t="n">
        <v>9.5</v>
      </c>
      <c r="CT7" s="11" t="n">
        <v>9.5</v>
      </c>
      <c r="CU7" s="11" t="n">
        <v>9.5</v>
      </c>
      <c r="CV7" s="11" t="n">
        <v>9.5</v>
      </c>
      <c r="CW7" s="11" t="n">
        <v>9.5</v>
      </c>
      <c r="CX7" s="11" t="n">
        <v>9.5</v>
      </c>
      <c r="CY7" s="11" t="n">
        <v>9.5</v>
      </c>
      <c r="CZ7" s="11" t="n">
        <v>9.5</v>
      </c>
      <c r="DA7" s="11" t="n">
        <v>9.5</v>
      </c>
      <c r="DB7" s="11" t="n">
        <v>9.5</v>
      </c>
      <c r="DC7" s="11" t="n">
        <v>9.5</v>
      </c>
      <c r="DD7" s="11" t="n">
        <v>9.5</v>
      </c>
      <c r="DE7" s="11" t="n">
        <v>9.5</v>
      </c>
      <c r="DF7" s="11" t="n">
        <v>9.5</v>
      </c>
      <c r="DG7" s="11" t="n">
        <v>9.5</v>
      </c>
      <c r="DH7" s="11" t="n">
        <v>9.5</v>
      </c>
      <c r="DI7" s="11" t="n">
        <v>9.5</v>
      </c>
      <c r="DJ7" s="11" t="n">
        <v>9.5</v>
      </c>
      <c r="DK7" s="11" t="n">
        <v>9.5</v>
      </c>
      <c r="DL7" s="11" t="n">
        <v>9.5</v>
      </c>
      <c r="DM7" s="11" t="n">
        <v>9.5</v>
      </c>
      <c r="DN7" s="11" t="n">
        <v>9.5</v>
      </c>
      <c r="DO7" s="11" t="n">
        <v>9.5</v>
      </c>
      <c r="DP7" s="11" t="n">
        <v>9.5</v>
      </c>
      <c r="DQ7" s="11" t="n">
        <v>9.5</v>
      </c>
      <c r="DR7" s="11" t="n">
        <v>9.5</v>
      </c>
      <c r="DS7" s="11" t="n">
        <v>9.5</v>
      </c>
      <c r="DT7" s="11" t="n">
        <v>8.4</v>
      </c>
      <c r="DU7" s="11" t="n">
        <v>8.3</v>
      </c>
      <c r="DV7" s="11" t="n">
        <v>8.2</v>
      </c>
      <c r="DW7" s="11" t="n">
        <v>8.1</v>
      </c>
      <c r="DX7" s="11" t="n">
        <v>8</v>
      </c>
      <c r="DY7" s="11" t="n">
        <v>7.8</v>
      </c>
      <c r="DZ7" s="11" t="n">
        <v>7.7</v>
      </c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</row>
    <row r="8" customFormat="false" ht="22.5" hidden="false" customHeight="true" outlineLevel="0" collapsed="false">
      <c r="A8" s="10" t="s">
        <v>288</v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R8" s="11" t="n">
        <v>0</v>
      </c>
      <c r="AS8" s="11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</v>
      </c>
      <c r="AZ8" s="11" t="n">
        <v>0</v>
      </c>
      <c r="BA8" s="11" t="n">
        <v>0</v>
      </c>
      <c r="BB8" s="11" t="n">
        <v>0</v>
      </c>
      <c r="BC8" s="11" t="n">
        <v>0</v>
      </c>
      <c r="BD8" s="11" t="n">
        <v>0</v>
      </c>
      <c r="BE8" s="11" t="n">
        <v>0</v>
      </c>
      <c r="BF8" s="11" t="n">
        <v>0</v>
      </c>
      <c r="BG8" s="11" t="n">
        <v>0</v>
      </c>
      <c r="BH8" s="11" t="n">
        <v>0</v>
      </c>
      <c r="BI8" s="11" t="n">
        <v>0</v>
      </c>
      <c r="BJ8" s="11" t="n">
        <v>0</v>
      </c>
      <c r="BK8" s="11" t="n">
        <v>0</v>
      </c>
      <c r="BL8" s="11" t="n">
        <v>0.13</v>
      </c>
      <c r="BM8" s="11" t="n">
        <v>0.13</v>
      </c>
      <c r="BN8" s="11" t="n">
        <v>0.13</v>
      </c>
      <c r="BO8" s="11" t="n">
        <v>0.13</v>
      </c>
      <c r="BP8" s="11" t="n">
        <v>0.4</v>
      </c>
      <c r="BQ8" s="11" t="n">
        <v>0.4</v>
      </c>
      <c r="BR8" s="11" t="n">
        <v>0.4</v>
      </c>
      <c r="BS8" s="11" t="n">
        <v>0.4</v>
      </c>
      <c r="BT8" s="11" t="n">
        <v>0.4</v>
      </c>
      <c r="BU8" s="11" t="n">
        <v>0.4</v>
      </c>
      <c r="BV8" s="11" t="n">
        <v>0</v>
      </c>
      <c r="BW8" s="11" t="n">
        <v>0</v>
      </c>
      <c r="BX8" s="11" t="n">
        <v>0</v>
      </c>
      <c r="BY8" s="11" t="n">
        <v>0</v>
      </c>
      <c r="BZ8" s="11" t="n">
        <v>0</v>
      </c>
      <c r="CA8" s="11" t="n">
        <v>0</v>
      </c>
      <c r="CB8" s="11" t="n">
        <v>0</v>
      </c>
      <c r="CC8" s="11" t="n">
        <v>0</v>
      </c>
      <c r="CD8" s="11" t="n">
        <v>0</v>
      </c>
      <c r="CE8" s="11" t="n">
        <v>0</v>
      </c>
      <c r="CF8" s="11" t="n">
        <v>0</v>
      </c>
      <c r="CG8" s="11" t="n">
        <v>0</v>
      </c>
      <c r="CH8" s="11" t="n">
        <v>0</v>
      </c>
      <c r="CI8" s="11" t="n">
        <v>0</v>
      </c>
      <c r="CJ8" s="11" t="n">
        <v>0</v>
      </c>
      <c r="CK8" s="11" t="n">
        <v>0</v>
      </c>
      <c r="CL8" s="11" t="n">
        <v>0</v>
      </c>
      <c r="CM8" s="11" t="n">
        <v>0</v>
      </c>
      <c r="CN8" s="11" t="n">
        <v>0</v>
      </c>
      <c r="CO8" s="11" t="n">
        <v>0</v>
      </c>
      <c r="CP8" s="11" t="n">
        <v>0</v>
      </c>
      <c r="CQ8" s="11" t="n">
        <v>0</v>
      </c>
      <c r="CR8" s="11" t="n">
        <v>0</v>
      </c>
      <c r="CS8" s="11" t="n">
        <v>0</v>
      </c>
      <c r="CT8" s="11" t="n">
        <v>0</v>
      </c>
      <c r="CU8" s="11" t="n">
        <v>1.27</v>
      </c>
      <c r="CV8" s="11" t="n">
        <v>1.27</v>
      </c>
      <c r="CW8" s="11" t="n">
        <v>1.27</v>
      </c>
      <c r="CX8" s="11" t="n">
        <v>1.27</v>
      </c>
      <c r="CY8" s="11" t="n">
        <v>1.27</v>
      </c>
      <c r="CZ8" s="11" t="n">
        <v>1.27</v>
      </c>
      <c r="DA8" s="11" t="n">
        <v>1.27</v>
      </c>
      <c r="DB8" s="11" t="n">
        <v>1.27</v>
      </c>
      <c r="DC8" s="11" t="n">
        <v>1.27</v>
      </c>
      <c r="DD8" s="11" t="n">
        <v>1.27</v>
      </c>
      <c r="DE8" s="11" t="n">
        <v>1.27</v>
      </c>
      <c r="DF8" s="11" t="n">
        <v>1.27</v>
      </c>
      <c r="DG8" s="11" t="n">
        <v>1.27</v>
      </c>
      <c r="DH8" s="11" t="n">
        <v>1.27</v>
      </c>
      <c r="DI8" s="11" t="n">
        <v>1.27</v>
      </c>
      <c r="DJ8" s="11" t="n">
        <v>1.27</v>
      </c>
      <c r="DK8" s="11" t="n">
        <v>1.27</v>
      </c>
      <c r="DL8" s="11" t="n">
        <v>1.27</v>
      </c>
      <c r="DM8" s="11" t="n">
        <v>1.27</v>
      </c>
      <c r="DN8" s="11" t="n">
        <v>1.27</v>
      </c>
      <c r="DO8" s="11" t="n">
        <v>1.27</v>
      </c>
      <c r="DP8" s="11" t="n">
        <v>1.27</v>
      </c>
      <c r="DQ8" s="11" t="n">
        <v>1.27</v>
      </c>
      <c r="DR8" s="11" t="n">
        <v>1.27</v>
      </c>
      <c r="DS8" s="11" t="n">
        <v>1.27</v>
      </c>
      <c r="DT8" s="11" t="n">
        <v>1.27</v>
      </c>
      <c r="DU8" s="11" t="n">
        <v>1.27</v>
      </c>
      <c r="DV8" s="11" t="n">
        <v>1.27</v>
      </c>
      <c r="DW8" s="11" t="n">
        <v>1.27</v>
      </c>
      <c r="DX8" s="11" t="n">
        <v>1.27</v>
      </c>
      <c r="DY8" s="11" t="n">
        <v>4.67</v>
      </c>
      <c r="DZ8" s="11" t="n">
        <v>4.67</v>
      </c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</row>
    <row r="9" customFormat="false" ht="15.75" hidden="false" customHeight="false" outlineLevel="0" collapsed="false">
      <c r="A9" s="12"/>
      <c r="B9" s="13"/>
      <c r="C9" s="13"/>
      <c r="D9" s="13"/>
      <c r="E9" s="13"/>
      <c r="F9" s="13"/>
      <c r="G9" s="13"/>
      <c r="H9" s="1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</row>
    <row r="10" customFormat="false" ht="22.5" hidden="false" customHeight="true" outlineLevel="0" collapsed="false">
      <c r="A10" s="7" t="s">
        <v>289</v>
      </c>
      <c r="B10" s="8" t="s">
        <v>25</v>
      </c>
      <c r="C10" s="8" t="s">
        <v>26</v>
      </c>
      <c r="D10" s="8" t="s">
        <v>27</v>
      </c>
      <c r="E10" s="8" t="s">
        <v>28</v>
      </c>
      <c r="F10" s="8" t="s">
        <v>29</v>
      </c>
      <c r="G10" s="8" t="s">
        <v>30</v>
      </c>
      <c r="H10" s="8" t="s">
        <v>31</v>
      </c>
      <c r="I10" s="9" t="s">
        <v>32</v>
      </c>
      <c r="J10" s="9" t="s">
        <v>33</v>
      </c>
      <c r="K10" s="9" t="s">
        <v>34</v>
      </c>
      <c r="L10" s="9" t="s">
        <v>35</v>
      </c>
      <c r="M10" s="9" t="s">
        <v>36</v>
      </c>
      <c r="N10" s="9" t="s">
        <v>37</v>
      </c>
      <c r="O10" s="9" t="s">
        <v>38</v>
      </c>
      <c r="P10" s="9" t="s">
        <v>39</v>
      </c>
      <c r="Q10" s="9" t="s">
        <v>40</v>
      </c>
      <c r="R10" s="9" t="s">
        <v>41</v>
      </c>
      <c r="S10" s="9" t="s">
        <v>42</v>
      </c>
      <c r="T10" s="9" t="s">
        <v>43</v>
      </c>
      <c r="U10" s="8" t="s">
        <v>44</v>
      </c>
      <c r="V10" s="8" t="s">
        <v>45</v>
      </c>
      <c r="W10" s="8" t="s">
        <v>46</v>
      </c>
      <c r="X10" s="8" t="s">
        <v>47</v>
      </c>
      <c r="Y10" s="8" t="s">
        <v>48</v>
      </c>
      <c r="Z10" s="8" t="s">
        <v>49</v>
      </c>
      <c r="AA10" s="8" t="s">
        <v>50</v>
      </c>
      <c r="AB10" s="8" t="s">
        <v>51</v>
      </c>
      <c r="AC10" s="8" t="s">
        <v>52</v>
      </c>
      <c r="AD10" s="8" t="s">
        <v>53</v>
      </c>
      <c r="AE10" s="8" t="s">
        <v>54</v>
      </c>
      <c r="AF10" s="8" t="s">
        <v>55</v>
      </c>
      <c r="AG10" s="8" t="s">
        <v>56</v>
      </c>
      <c r="AH10" s="8" t="s">
        <v>57</v>
      </c>
      <c r="AI10" s="8" t="s">
        <v>58</v>
      </c>
      <c r="AJ10" s="8" t="s">
        <v>59</v>
      </c>
      <c r="AK10" s="8" t="s">
        <v>60</v>
      </c>
      <c r="AL10" s="8" t="s">
        <v>61</v>
      </c>
      <c r="AM10" s="8" t="s">
        <v>62</v>
      </c>
      <c r="AN10" s="9" t="s">
        <v>63</v>
      </c>
      <c r="AO10" s="9" t="s">
        <v>64</v>
      </c>
      <c r="AP10" s="9" t="s">
        <v>65</v>
      </c>
      <c r="AQ10" s="9" t="s">
        <v>66</v>
      </c>
      <c r="AR10" s="9" t="s">
        <v>67</v>
      </c>
      <c r="AS10" s="9" t="s">
        <v>68</v>
      </c>
      <c r="AT10" s="9" t="s">
        <v>69</v>
      </c>
      <c r="AU10" s="9" t="s">
        <v>70</v>
      </c>
      <c r="AV10" s="9" t="s">
        <v>71</v>
      </c>
      <c r="AW10" s="9" t="s">
        <v>72</v>
      </c>
      <c r="AX10" s="9" t="s">
        <v>73</v>
      </c>
      <c r="AY10" s="9" t="s">
        <v>74</v>
      </c>
      <c r="AZ10" s="8" t="s">
        <v>75</v>
      </c>
      <c r="BA10" s="8" t="s">
        <v>76</v>
      </c>
      <c r="BB10" s="8" t="s">
        <v>77</v>
      </c>
      <c r="BC10" s="8" t="s">
        <v>78</v>
      </c>
      <c r="BD10" s="8" t="s">
        <v>79</v>
      </c>
      <c r="BE10" s="8" t="s">
        <v>80</v>
      </c>
      <c r="BF10" s="8" t="s">
        <v>81</v>
      </c>
      <c r="BG10" s="8" t="s">
        <v>82</v>
      </c>
      <c r="BH10" s="8" t="s">
        <v>83</v>
      </c>
      <c r="BI10" s="8" t="s">
        <v>84</v>
      </c>
      <c r="BJ10" s="8" t="s">
        <v>85</v>
      </c>
      <c r="BK10" s="8" t="s">
        <v>86</v>
      </c>
      <c r="BL10" s="8" t="s">
        <v>87</v>
      </c>
      <c r="BM10" s="8" t="s">
        <v>88</v>
      </c>
      <c r="BN10" s="8" t="s">
        <v>89</v>
      </c>
      <c r="BO10" s="8" t="s">
        <v>90</v>
      </c>
      <c r="BP10" s="9" t="s">
        <v>91</v>
      </c>
      <c r="BQ10" s="9" t="s">
        <v>92</v>
      </c>
      <c r="BR10" s="9" t="s">
        <v>93</v>
      </c>
      <c r="BS10" s="9" t="s">
        <v>94</v>
      </c>
      <c r="BT10" s="9" t="s">
        <v>95</v>
      </c>
      <c r="BU10" s="9" t="s">
        <v>96</v>
      </c>
      <c r="BV10" s="9" t="s">
        <v>97</v>
      </c>
      <c r="BW10" s="9" t="s">
        <v>98</v>
      </c>
      <c r="BX10" s="9" t="s">
        <v>99</v>
      </c>
      <c r="BY10" s="9" t="s">
        <v>100</v>
      </c>
      <c r="BZ10" s="9" t="s">
        <v>101</v>
      </c>
      <c r="CA10" s="9" t="s">
        <v>102</v>
      </c>
      <c r="CB10" s="8" t="s">
        <v>103</v>
      </c>
      <c r="CC10" s="8" t="s">
        <v>104</v>
      </c>
      <c r="CD10" s="8" t="s">
        <v>105</v>
      </c>
      <c r="CE10" s="8" t="s">
        <v>106</v>
      </c>
      <c r="CF10" s="8" t="s">
        <v>107</v>
      </c>
      <c r="CG10" s="8" t="s">
        <v>108</v>
      </c>
      <c r="CH10" s="8" t="s">
        <v>109</v>
      </c>
      <c r="CI10" s="8" t="s">
        <v>110</v>
      </c>
      <c r="CJ10" s="8" t="s">
        <v>111</v>
      </c>
      <c r="CK10" s="8" t="s">
        <v>112</v>
      </c>
      <c r="CL10" s="8" t="s">
        <v>113</v>
      </c>
      <c r="CM10" s="8" t="s">
        <v>114</v>
      </c>
      <c r="CN10" s="8" t="s">
        <v>115</v>
      </c>
      <c r="CO10" s="8" t="s">
        <v>116</v>
      </c>
      <c r="CP10" s="8" t="s">
        <v>117</v>
      </c>
      <c r="CQ10" s="8" t="s">
        <v>118</v>
      </c>
      <c r="CR10" s="8" t="s">
        <v>119</v>
      </c>
      <c r="CS10" s="8" t="s">
        <v>120</v>
      </c>
      <c r="CT10" s="8" t="s">
        <v>121</v>
      </c>
      <c r="CU10" s="9" t="s">
        <v>122</v>
      </c>
      <c r="CV10" s="9" t="s">
        <v>123</v>
      </c>
      <c r="CW10" s="9" t="s">
        <v>124</v>
      </c>
      <c r="CX10" s="9" t="s">
        <v>125</v>
      </c>
      <c r="CY10" s="9" t="s">
        <v>126</v>
      </c>
      <c r="CZ10" s="9" t="s">
        <v>127</v>
      </c>
      <c r="DA10" s="9" t="s">
        <v>128</v>
      </c>
      <c r="DB10" s="9" t="s">
        <v>129</v>
      </c>
      <c r="DC10" s="9" t="s">
        <v>130</v>
      </c>
      <c r="DD10" s="9" t="s">
        <v>131</v>
      </c>
      <c r="DE10" s="9" t="s">
        <v>132</v>
      </c>
      <c r="DF10" s="9" t="s">
        <v>133</v>
      </c>
      <c r="DG10" s="8" t="s">
        <v>134</v>
      </c>
      <c r="DH10" s="8" t="s">
        <v>135</v>
      </c>
      <c r="DI10" s="8" t="s">
        <v>136</v>
      </c>
      <c r="DJ10" s="8" t="s">
        <v>137</v>
      </c>
      <c r="DK10" s="8" t="s">
        <v>138</v>
      </c>
      <c r="DL10" s="8" t="s">
        <v>139</v>
      </c>
      <c r="DM10" s="8" t="s">
        <v>140</v>
      </c>
      <c r="DN10" s="8" t="s">
        <v>141</v>
      </c>
      <c r="DO10" s="8" t="s">
        <v>142</v>
      </c>
      <c r="DP10" s="8" t="s">
        <v>143</v>
      </c>
      <c r="DQ10" s="8" t="s">
        <v>144</v>
      </c>
      <c r="DR10" s="8" t="s">
        <v>145</v>
      </c>
      <c r="DS10" s="8" t="s">
        <v>146</v>
      </c>
      <c r="DT10" s="8" t="s">
        <v>147</v>
      </c>
      <c r="DU10" s="8" t="s">
        <v>148</v>
      </c>
      <c r="DV10" s="8" t="s">
        <v>149</v>
      </c>
      <c r="DW10" s="8" t="s">
        <v>150</v>
      </c>
      <c r="DX10" s="8" t="s">
        <v>151</v>
      </c>
      <c r="DY10" s="9" t="s">
        <v>152</v>
      </c>
      <c r="DZ10" s="9" t="s">
        <v>153</v>
      </c>
      <c r="EA10" s="9" t="s">
        <v>154</v>
      </c>
      <c r="EB10" s="9" t="s">
        <v>155</v>
      </c>
      <c r="EC10" s="9" t="s">
        <v>156</v>
      </c>
      <c r="ED10" s="9" t="s">
        <v>157</v>
      </c>
      <c r="EE10" s="9" t="s">
        <v>158</v>
      </c>
      <c r="EF10" s="9" t="s">
        <v>159</v>
      </c>
      <c r="EG10" s="9" t="s">
        <v>160</v>
      </c>
      <c r="EH10" s="9" t="s">
        <v>161</v>
      </c>
      <c r="EI10" s="9" t="s">
        <v>162</v>
      </c>
      <c r="EJ10" s="9" t="s">
        <v>163</v>
      </c>
      <c r="EK10" s="9" t="s">
        <v>164</v>
      </c>
      <c r="EL10" s="9" t="s">
        <v>165</v>
      </c>
      <c r="EM10" s="9" t="s">
        <v>166</v>
      </c>
      <c r="EN10" s="9" t="s">
        <v>167</v>
      </c>
      <c r="EO10" s="9" t="s">
        <v>168</v>
      </c>
      <c r="EP10" s="9" t="s">
        <v>169</v>
      </c>
      <c r="EQ10" s="9" t="s">
        <v>170</v>
      </c>
      <c r="ER10" s="9" t="s">
        <v>171</v>
      </c>
      <c r="ES10" s="9" t="s">
        <v>172</v>
      </c>
      <c r="ET10" s="9" t="s">
        <v>173</v>
      </c>
      <c r="EU10" s="9" t="s">
        <v>174</v>
      </c>
      <c r="EV10" s="9" t="s">
        <v>175</v>
      </c>
      <c r="EW10" s="9" t="s">
        <v>176</v>
      </c>
      <c r="EX10" s="9" t="s">
        <v>177</v>
      </c>
      <c r="EY10" s="9" t="s">
        <v>178</v>
      </c>
      <c r="EZ10" s="9" t="s">
        <v>179</v>
      </c>
      <c r="FA10" s="9" t="s">
        <v>180</v>
      </c>
      <c r="FB10" s="9" t="s">
        <v>181</v>
      </c>
      <c r="FC10" s="9" t="s">
        <v>182</v>
      </c>
      <c r="FD10" s="9" t="s">
        <v>183</v>
      </c>
      <c r="FE10" s="9" t="s">
        <v>184</v>
      </c>
      <c r="FF10" s="9" t="s">
        <v>185</v>
      </c>
      <c r="FG10" s="9" t="s">
        <v>186</v>
      </c>
      <c r="FH10" s="9" t="s">
        <v>187</v>
      </c>
      <c r="FI10" s="9" t="s">
        <v>188</v>
      </c>
      <c r="FJ10" s="9" t="s">
        <v>189</v>
      </c>
      <c r="FK10" s="9" t="s">
        <v>190</v>
      </c>
      <c r="FL10" s="9" t="s">
        <v>191</v>
      </c>
      <c r="FM10" s="9" t="s">
        <v>192</v>
      </c>
      <c r="FN10" s="9" t="s">
        <v>193</v>
      </c>
      <c r="FO10" s="9" t="s">
        <v>194</v>
      </c>
      <c r="FP10" s="9" t="s">
        <v>195</v>
      </c>
      <c r="FQ10" s="9" t="s">
        <v>196</v>
      </c>
      <c r="FR10" s="9" t="s">
        <v>197</v>
      </c>
      <c r="FS10" s="9" t="s">
        <v>198</v>
      </c>
      <c r="FT10" s="9" t="s">
        <v>199</v>
      </c>
      <c r="FU10" s="9" t="s">
        <v>200</v>
      </c>
      <c r="FV10" s="9" t="s">
        <v>201</v>
      </c>
      <c r="FW10" s="9" t="s">
        <v>202</v>
      </c>
      <c r="FX10" s="9" t="s">
        <v>203</v>
      </c>
      <c r="FY10" s="9" t="s">
        <v>204</v>
      </c>
      <c r="FZ10" s="9" t="s">
        <v>205</v>
      </c>
      <c r="GA10" s="9" t="s">
        <v>206</v>
      </c>
      <c r="GB10" s="9" t="s">
        <v>207</v>
      </c>
      <c r="GC10" s="9" t="s">
        <v>208</v>
      </c>
      <c r="GD10" s="9" t="s">
        <v>209</v>
      </c>
      <c r="GE10" s="9" t="s">
        <v>210</v>
      </c>
      <c r="GF10" s="9" t="s">
        <v>211</v>
      </c>
      <c r="GG10" s="9" t="s">
        <v>212</v>
      </c>
      <c r="GH10" s="9" t="s">
        <v>213</v>
      </c>
      <c r="GI10" s="9" t="s">
        <v>214</v>
      </c>
      <c r="GJ10" s="9" t="s">
        <v>215</v>
      </c>
      <c r="GK10" s="9" t="s">
        <v>216</v>
      </c>
      <c r="GL10" s="9" t="s">
        <v>217</v>
      </c>
      <c r="GM10" s="9" t="s">
        <v>218</v>
      </c>
      <c r="GN10" s="9" t="s">
        <v>219</v>
      </c>
      <c r="GO10" s="9" t="s">
        <v>220</v>
      </c>
      <c r="GP10" s="9" t="s">
        <v>221</v>
      </c>
      <c r="GQ10" s="9" t="s">
        <v>222</v>
      </c>
      <c r="GR10" s="9" t="s">
        <v>223</v>
      </c>
      <c r="GS10" s="9" t="s">
        <v>224</v>
      </c>
      <c r="GT10" s="9" t="s">
        <v>225</v>
      </c>
      <c r="GU10" s="9" t="s">
        <v>226</v>
      </c>
      <c r="GV10" s="9" t="s">
        <v>227</v>
      </c>
      <c r="GW10" s="9" t="s">
        <v>228</v>
      </c>
      <c r="GX10" s="9" t="s">
        <v>229</v>
      </c>
      <c r="GY10" s="9" t="s">
        <v>230</v>
      </c>
      <c r="GZ10" s="9" t="s">
        <v>231</v>
      </c>
      <c r="HA10" s="9" t="s">
        <v>232</v>
      </c>
      <c r="HB10" s="9" t="s">
        <v>233</v>
      </c>
      <c r="HC10" s="9" t="s">
        <v>234</v>
      </c>
      <c r="HD10" s="9" t="s">
        <v>235</v>
      </c>
      <c r="HE10" s="9" t="s">
        <v>236</v>
      </c>
      <c r="HF10" s="9" t="s">
        <v>237</v>
      </c>
      <c r="HG10" s="9" t="s">
        <v>238</v>
      </c>
      <c r="HH10" s="9" t="s">
        <v>239</v>
      </c>
      <c r="HI10" s="9" t="s">
        <v>240</v>
      </c>
      <c r="HJ10" s="9" t="s">
        <v>241</v>
      </c>
      <c r="HK10" s="9" t="s">
        <v>242</v>
      </c>
      <c r="HL10" s="9" t="s">
        <v>243</v>
      </c>
      <c r="HM10" s="9" t="s">
        <v>244</v>
      </c>
      <c r="HN10" s="9" t="s">
        <v>245</v>
      </c>
      <c r="HO10" s="9" t="s">
        <v>246</v>
      </c>
      <c r="HP10" s="9" t="s">
        <v>247</v>
      </c>
      <c r="HQ10" s="9" t="s">
        <v>248</v>
      </c>
      <c r="HR10" s="9" t="s">
        <v>249</v>
      </c>
      <c r="HS10" s="9" t="s">
        <v>250</v>
      </c>
      <c r="HT10" s="9" t="s">
        <v>251</v>
      </c>
      <c r="HU10" s="9" t="s">
        <v>252</v>
      </c>
      <c r="HV10" s="9" t="s">
        <v>253</v>
      </c>
      <c r="HW10" s="9" t="s">
        <v>254</v>
      </c>
      <c r="HX10" s="9" t="s">
        <v>255</v>
      </c>
      <c r="HY10" s="9" t="s">
        <v>256</v>
      </c>
      <c r="HZ10" s="9" t="s">
        <v>257</v>
      </c>
      <c r="IA10" s="9" t="s">
        <v>258</v>
      </c>
      <c r="IB10" s="9" t="s">
        <v>259</v>
      </c>
      <c r="IC10" s="9" t="s">
        <v>260</v>
      </c>
      <c r="ID10" s="9" t="s">
        <v>261</v>
      </c>
      <c r="IE10" s="9" t="s">
        <v>262</v>
      </c>
      <c r="IF10" s="9" t="s">
        <v>263</v>
      </c>
      <c r="IG10" s="9" t="s">
        <v>264</v>
      </c>
      <c r="IH10" s="9" t="s">
        <v>265</v>
      </c>
      <c r="II10" s="9" t="s">
        <v>266</v>
      </c>
      <c r="IJ10" s="9" t="s">
        <v>267</v>
      </c>
      <c r="IK10" s="9" t="s">
        <v>268</v>
      </c>
      <c r="IL10" s="9" t="s">
        <v>269</v>
      </c>
      <c r="IM10" s="9" t="s">
        <v>270</v>
      </c>
      <c r="IN10" s="9" t="s">
        <v>271</v>
      </c>
      <c r="IO10" s="9" t="s">
        <v>272</v>
      </c>
      <c r="IP10" s="9" t="s">
        <v>273</v>
      </c>
      <c r="IQ10" s="9" t="s">
        <v>274</v>
      </c>
      <c r="IR10" s="9" t="s">
        <v>275</v>
      </c>
      <c r="IS10" s="9" t="s">
        <v>276</v>
      </c>
      <c r="IT10" s="9" t="s">
        <v>277</v>
      </c>
      <c r="IU10" s="9" t="s">
        <v>278</v>
      </c>
      <c r="IV10" s="9" t="s">
        <v>279</v>
      </c>
      <c r="IW10" s="9" t="s">
        <v>280</v>
      </c>
      <c r="IX10" s="9" t="s">
        <v>281</v>
      </c>
      <c r="IY10" s="9" t="s">
        <v>282</v>
      </c>
      <c r="IZ10" s="9" t="s">
        <v>283</v>
      </c>
    </row>
    <row r="11" customFormat="false" ht="22.5" hidden="false" customHeight="true" outlineLevel="0" collapsed="false">
      <c r="A11" s="15" t="s">
        <v>290</v>
      </c>
      <c r="B11" s="7" t="n">
        <v>51</v>
      </c>
      <c r="C11" s="7" t="n">
        <v>52</v>
      </c>
      <c r="D11" s="7" t="n">
        <v>51</v>
      </c>
      <c r="E11" s="7" t="n">
        <v>45</v>
      </c>
      <c r="F11" s="7" t="n">
        <v>50</v>
      </c>
      <c r="G11" s="7" t="n">
        <v>49</v>
      </c>
      <c r="H11" s="7" t="n">
        <v>51</v>
      </c>
      <c r="I11" s="7" t="n">
        <v>51</v>
      </c>
      <c r="J11" s="7" t="n">
        <v>46</v>
      </c>
      <c r="K11" s="7" t="n">
        <v>43</v>
      </c>
      <c r="L11" s="7" t="n">
        <v>46</v>
      </c>
      <c r="M11" s="7" t="n">
        <v>51</v>
      </c>
      <c r="N11" s="7" t="n">
        <v>45</v>
      </c>
      <c r="O11" s="7" t="n">
        <v>47</v>
      </c>
      <c r="P11" s="7" t="n">
        <v>42</v>
      </c>
      <c r="Q11" s="7" t="n">
        <v>51</v>
      </c>
      <c r="R11" s="7" t="n">
        <v>52</v>
      </c>
      <c r="S11" s="7" t="n">
        <v>46</v>
      </c>
      <c r="T11" s="7" t="n">
        <v>50</v>
      </c>
      <c r="U11" s="7" t="n">
        <v>42</v>
      </c>
      <c r="V11" s="7" t="n">
        <v>49</v>
      </c>
      <c r="W11" s="7" t="n">
        <v>58</v>
      </c>
      <c r="X11" s="7" t="n">
        <v>45</v>
      </c>
      <c r="Y11" s="7" t="n">
        <v>44</v>
      </c>
      <c r="Z11" s="7" t="n">
        <v>44</v>
      </c>
      <c r="AA11" s="7" t="n">
        <v>47</v>
      </c>
      <c r="AB11" s="7" t="n">
        <v>48</v>
      </c>
      <c r="AC11" s="7" t="n">
        <v>48</v>
      </c>
      <c r="AD11" s="7" t="n">
        <v>43</v>
      </c>
      <c r="AE11" s="7" t="n">
        <v>39</v>
      </c>
      <c r="AF11" s="7" t="n">
        <v>43</v>
      </c>
      <c r="AG11" s="7" t="n">
        <v>38</v>
      </c>
      <c r="AH11" s="7" t="n">
        <v>42</v>
      </c>
      <c r="AI11" s="7" t="n">
        <v>43</v>
      </c>
      <c r="AJ11" s="7" t="n">
        <v>45</v>
      </c>
      <c r="AK11" s="7" t="n">
        <v>41</v>
      </c>
      <c r="AL11" s="7" t="n">
        <v>44</v>
      </c>
      <c r="AM11" s="7" t="n">
        <v>39</v>
      </c>
      <c r="AN11" s="7" t="n">
        <v>40</v>
      </c>
      <c r="AO11" s="7" t="n">
        <v>44</v>
      </c>
      <c r="AP11" s="7" t="n">
        <v>40</v>
      </c>
      <c r="AQ11" s="7" t="n">
        <v>42</v>
      </c>
      <c r="AR11" s="7" t="n">
        <v>40</v>
      </c>
      <c r="AS11" s="7" t="n">
        <v>41</v>
      </c>
      <c r="AT11" s="7" t="n">
        <v>42</v>
      </c>
      <c r="AU11" s="7" t="n">
        <v>44</v>
      </c>
      <c r="AV11" s="7" t="n">
        <v>43</v>
      </c>
      <c r="AW11" s="7" t="n">
        <v>40</v>
      </c>
      <c r="AX11" s="7" t="n">
        <v>40</v>
      </c>
      <c r="AY11" s="7" t="n">
        <v>40</v>
      </c>
      <c r="AZ11" s="7" t="n">
        <v>39</v>
      </c>
      <c r="BA11" s="7" t="n">
        <v>39</v>
      </c>
      <c r="BB11" s="7" t="n">
        <v>41</v>
      </c>
      <c r="BC11" s="7" t="n">
        <v>43</v>
      </c>
      <c r="BD11" s="7" t="n">
        <v>40</v>
      </c>
      <c r="BE11" s="7"/>
      <c r="BF11" s="7"/>
      <c r="BG11" s="7"/>
      <c r="BH11" s="7"/>
      <c r="BI11" s="7"/>
      <c r="BJ11" s="7"/>
      <c r="BK11" s="7"/>
      <c r="BL11" s="7"/>
      <c r="BM11" s="7"/>
      <c r="BN11" s="7" t="n">
        <v>0</v>
      </c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</row>
    <row r="12" customFormat="false" ht="22.5" hidden="false" customHeight="true" outlineLevel="0" collapsed="false">
      <c r="A12" s="15" t="s">
        <v>291</v>
      </c>
      <c r="B12" s="7" t="n">
        <v>55</v>
      </c>
      <c r="C12" s="7" t="n">
        <v>53</v>
      </c>
      <c r="D12" s="7" t="n">
        <v>56</v>
      </c>
      <c r="E12" s="7" t="n">
        <v>55</v>
      </c>
      <c r="F12" s="7" t="n">
        <v>59</v>
      </c>
      <c r="G12" s="7" t="n">
        <v>54</v>
      </c>
      <c r="H12" s="7" t="n">
        <v>55</v>
      </c>
      <c r="I12" s="7" t="n">
        <v>58</v>
      </c>
      <c r="J12" s="7" t="n">
        <v>56</v>
      </c>
      <c r="K12" s="7" t="n">
        <v>54</v>
      </c>
      <c r="L12" s="7" t="n">
        <v>55</v>
      </c>
      <c r="M12" s="7" t="n">
        <v>51</v>
      </c>
      <c r="N12" s="7" t="n">
        <v>52</v>
      </c>
      <c r="O12" s="7" t="n">
        <v>48</v>
      </c>
      <c r="P12" s="7" t="n">
        <v>54</v>
      </c>
      <c r="Q12" s="7" t="n">
        <v>51</v>
      </c>
      <c r="R12" s="7" t="n">
        <v>60</v>
      </c>
      <c r="S12" s="7" t="n">
        <v>57</v>
      </c>
      <c r="T12" s="7" t="n">
        <v>47</v>
      </c>
      <c r="U12" s="7" t="n">
        <v>41</v>
      </c>
      <c r="V12" s="7" t="n">
        <v>59</v>
      </c>
      <c r="W12" s="7" t="n">
        <v>56</v>
      </c>
      <c r="X12" s="7" t="n">
        <v>53</v>
      </c>
      <c r="Y12" s="7" t="n">
        <v>56</v>
      </c>
      <c r="Z12" s="7" t="n">
        <v>48</v>
      </c>
      <c r="AA12" s="7" t="n">
        <v>46</v>
      </c>
      <c r="AB12" s="7" t="n">
        <v>51</v>
      </c>
      <c r="AC12" s="7" t="n">
        <v>51</v>
      </c>
      <c r="AD12" s="7" t="n">
        <v>57</v>
      </c>
      <c r="AE12" s="7" t="n">
        <v>41</v>
      </c>
      <c r="AF12" s="7" t="n">
        <v>46</v>
      </c>
      <c r="AG12" s="7" t="n">
        <v>51</v>
      </c>
      <c r="AH12" s="7" t="n">
        <v>45</v>
      </c>
      <c r="AI12" s="7" t="n">
        <v>53</v>
      </c>
      <c r="AJ12" s="7" t="n">
        <v>57</v>
      </c>
      <c r="AK12" s="7" t="n">
        <v>49</v>
      </c>
      <c r="AL12" s="7" t="n">
        <v>54</v>
      </c>
      <c r="AM12" s="7" t="n">
        <v>44</v>
      </c>
      <c r="AN12" s="7" t="n">
        <v>50</v>
      </c>
      <c r="AO12" s="7" t="n">
        <v>48</v>
      </c>
      <c r="AP12" s="7" t="n">
        <v>49</v>
      </c>
      <c r="AQ12" s="7" t="n">
        <v>53</v>
      </c>
      <c r="AR12" s="7" t="n">
        <v>47</v>
      </c>
      <c r="AS12" s="7" t="n">
        <v>47</v>
      </c>
      <c r="AT12" s="7" t="n">
        <v>53</v>
      </c>
      <c r="AU12" s="7" t="n">
        <v>52</v>
      </c>
      <c r="AV12" s="7" t="n">
        <v>46</v>
      </c>
      <c r="AW12" s="7" t="n">
        <v>45</v>
      </c>
      <c r="AX12" s="7" t="n">
        <v>45</v>
      </c>
      <c r="AY12" s="7" t="n">
        <v>44</v>
      </c>
      <c r="AZ12" s="7" t="n">
        <v>49</v>
      </c>
      <c r="BA12" s="7" t="n">
        <v>53</v>
      </c>
      <c r="BB12" s="7" t="n">
        <v>47</v>
      </c>
      <c r="BC12" s="7" t="n">
        <v>46</v>
      </c>
      <c r="BD12" s="7" t="n">
        <v>53</v>
      </c>
      <c r="BE12" s="7" t="n">
        <v>48</v>
      </c>
      <c r="BF12" s="7" t="n">
        <v>47</v>
      </c>
      <c r="BG12" s="7" t="n">
        <v>47</v>
      </c>
      <c r="BH12" s="7" t="n">
        <v>51</v>
      </c>
      <c r="BI12" s="7" t="n">
        <v>45</v>
      </c>
      <c r="BJ12" s="7" t="n">
        <v>47</v>
      </c>
      <c r="BK12" s="7" t="n">
        <v>49</v>
      </c>
      <c r="BL12" s="7" t="n">
        <v>49</v>
      </c>
      <c r="BM12" s="7" t="n">
        <v>52</v>
      </c>
      <c r="BN12" s="7" t="n">
        <v>52</v>
      </c>
      <c r="BO12" s="7" t="n">
        <v>50</v>
      </c>
      <c r="BP12" s="7" t="n">
        <v>52</v>
      </c>
      <c r="BQ12" s="7" t="n">
        <v>47</v>
      </c>
      <c r="BR12" s="7" t="n">
        <v>50</v>
      </c>
      <c r="BS12" s="7" t="n">
        <v>45</v>
      </c>
      <c r="BT12" s="7" t="n">
        <v>51</v>
      </c>
      <c r="BU12" s="7" t="n">
        <v>50</v>
      </c>
      <c r="BV12" s="7" t="n">
        <v>49</v>
      </c>
      <c r="BW12" s="7" t="n">
        <v>43</v>
      </c>
      <c r="BX12" s="7" t="n">
        <v>48</v>
      </c>
      <c r="BY12" s="7" t="n">
        <v>50</v>
      </c>
      <c r="BZ12" s="7" t="n">
        <v>43</v>
      </c>
      <c r="CA12" s="7" t="n">
        <v>39</v>
      </c>
      <c r="CB12" s="7" t="n">
        <v>51</v>
      </c>
      <c r="CC12" s="7" t="n">
        <v>47</v>
      </c>
      <c r="CD12" s="7" t="n">
        <v>52</v>
      </c>
      <c r="CE12" s="7" t="n">
        <v>48</v>
      </c>
      <c r="CF12" s="7" t="n">
        <v>42</v>
      </c>
      <c r="CG12" s="7" t="n">
        <v>46</v>
      </c>
      <c r="CH12" s="7" t="n">
        <v>44</v>
      </c>
      <c r="CI12" s="7" t="n">
        <v>52</v>
      </c>
      <c r="CJ12" s="7" t="n">
        <v>47</v>
      </c>
      <c r="CK12" s="7" t="n">
        <v>52</v>
      </c>
      <c r="CL12" s="7" t="n">
        <v>44</v>
      </c>
      <c r="CM12" s="7" t="n">
        <v>54</v>
      </c>
      <c r="CN12" s="7" t="n">
        <v>47</v>
      </c>
      <c r="CO12" s="7" t="n">
        <v>50</v>
      </c>
      <c r="CP12" s="7" t="n">
        <v>50</v>
      </c>
      <c r="CQ12" s="7" t="n">
        <v>47</v>
      </c>
      <c r="CR12" s="7" t="n">
        <v>48</v>
      </c>
      <c r="CS12" s="7" t="n">
        <v>53</v>
      </c>
      <c r="CT12" s="7" t="n">
        <v>40</v>
      </c>
      <c r="CU12" s="7" t="n">
        <v>48</v>
      </c>
      <c r="CV12" s="7" t="n">
        <v>47</v>
      </c>
      <c r="CW12" s="7" t="n">
        <v>46</v>
      </c>
      <c r="CX12" s="7" t="n">
        <v>50</v>
      </c>
      <c r="CY12" s="7" t="n">
        <v>47</v>
      </c>
      <c r="CZ12" s="7" t="n">
        <v>53</v>
      </c>
      <c r="DA12" s="7" t="n">
        <v>51</v>
      </c>
      <c r="DB12" s="7" t="n">
        <v>51</v>
      </c>
      <c r="DC12" s="7" t="n">
        <v>48</v>
      </c>
      <c r="DD12" s="7" t="n">
        <v>46</v>
      </c>
      <c r="DE12" s="7" t="n">
        <v>48</v>
      </c>
      <c r="DF12" s="7" t="n">
        <v>43</v>
      </c>
      <c r="DG12" s="7" t="n">
        <v>43</v>
      </c>
      <c r="DH12" s="7" t="n">
        <v>39</v>
      </c>
      <c r="DI12" s="7" t="n">
        <v>51</v>
      </c>
      <c r="DJ12" s="7" t="n">
        <v>47</v>
      </c>
      <c r="DK12" s="7" t="n">
        <v>52</v>
      </c>
      <c r="DL12" s="7" t="n">
        <v>48</v>
      </c>
      <c r="DM12" s="7" t="n">
        <v>42</v>
      </c>
      <c r="DN12" s="7" t="n">
        <v>46</v>
      </c>
      <c r="DO12" s="7" t="n">
        <v>44</v>
      </c>
      <c r="DP12" s="7" t="n">
        <v>47</v>
      </c>
      <c r="DQ12" s="7" t="n">
        <v>43</v>
      </c>
      <c r="DR12" s="7" t="n">
        <v>39</v>
      </c>
      <c r="DS12" s="7" t="n">
        <v>51</v>
      </c>
      <c r="DT12" s="7" t="n">
        <v>47</v>
      </c>
      <c r="DU12" s="7" t="n">
        <v>52</v>
      </c>
      <c r="DV12" s="7" t="n">
        <v>48</v>
      </c>
      <c r="DW12" s="7" t="n">
        <v>42</v>
      </c>
      <c r="DX12" s="7" t="n">
        <v>46</v>
      </c>
      <c r="DY12" s="7" t="n">
        <v>44</v>
      </c>
      <c r="DZ12" s="7" t="n">
        <v>47</v>
      </c>
      <c r="EA12" s="7" t="n">
        <v>52</v>
      </c>
      <c r="EB12" s="7" t="n">
        <v>50</v>
      </c>
      <c r="EC12" s="7" t="n">
        <v>52</v>
      </c>
      <c r="ED12" s="7" t="n">
        <v>47</v>
      </c>
      <c r="EE12" s="7" t="n">
        <v>49</v>
      </c>
      <c r="EF12" s="7" t="n">
        <v>46</v>
      </c>
      <c r="EG12" s="7" t="n">
        <v>56</v>
      </c>
      <c r="EH12" s="7" t="n">
        <v>57</v>
      </c>
      <c r="EI12" s="7" t="n">
        <v>58</v>
      </c>
      <c r="EJ12" s="7" t="n">
        <v>52</v>
      </c>
      <c r="EK12" s="7" t="n">
        <v>51</v>
      </c>
      <c r="EL12" s="7" t="n">
        <v>49</v>
      </c>
      <c r="EM12" s="7" t="n">
        <v>58</v>
      </c>
      <c r="EN12" s="7" t="n">
        <v>51</v>
      </c>
      <c r="EO12" s="7" t="n">
        <v>55</v>
      </c>
      <c r="EP12" s="7" t="n">
        <v>53</v>
      </c>
      <c r="EQ12" s="7" t="n">
        <v>52</v>
      </c>
      <c r="ER12" s="7" t="n">
        <v>55</v>
      </c>
      <c r="ES12" s="7" t="n">
        <v>58</v>
      </c>
      <c r="ET12" s="7" t="n">
        <v>52</v>
      </c>
      <c r="EU12" s="7" t="n">
        <v>58</v>
      </c>
      <c r="EV12" s="7" t="n">
        <v>51</v>
      </c>
      <c r="EW12" s="7" t="n">
        <v>51</v>
      </c>
      <c r="EX12" s="7" t="n">
        <v>52</v>
      </c>
      <c r="EY12" s="7" t="n">
        <v>57</v>
      </c>
      <c r="EZ12" s="7" t="n">
        <v>49</v>
      </c>
      <c r="FA12" s="7" t="n">
        <v>54</v>
      </c>
      <c r="FB12" s="7" t="n">
        <v>55</v>
      </c>
      <c r="FC12" s="7" t="n">
        <v>51</v>
      </c>
      <c r="FD12" s="7" t="n">
        <v>51</v>
      </c>
      <c r="FE12" s="7" t="n">
        <v>52</v>
      </c>
      <c r="FF12" s="7" t="n">
        <v>51</v>
      </c>
      <c r="FG12" s="7" t="n">
        <v>58</v>
      </c>
      <c r="FH12" s="7" t="n">
        <v>44</v>
      </c>
      <c r="FI12" s="7" t="n">
        <v>51</v>
      </c>
      <c r="FJ12" s="7" t="n">
        <v>56</v>
      </c>
      <c r="FK12" s="7" t="n">
        <v>50</v>
      </c>
      <c r="FL12" s="7" t="n">
        <v>50</v>
      </c>
      <c r="FM12" s="7" t="n">
        <v>50</v>
      </c>
      <c r="FN12" s="7" t="n">
        <v>50</v>
      </c>
      <c r="FO12" s="7" t="n">
        <v>56</v>
      </c>
      <c r="FP12" s="7" t="n">
        <v>56</v>
      </c>
      <c r="FQ12" s="7" t="n">
        <v>49</v>
      </c>
      <c r="FR12" s="7" t="n">
        <v>57</v>
      </c>
      <c r="FS12" s="7" t="n">
        <v>50</v>
      </c>
      <c r="FT12" s="7" t="n">
        <v>41</v>
      </c>
      <c r="FU12" s="7" t="n">
        <v>54</v>
      </c>
      <c r="FV12" s="7" t="n">
        <v>55</v>
      </c>
      <c r="FW12" s="7" t="n">
        <v>48</v>
      </c>
      <c r="FX12" s="7" t="n">
        <v>52</v>
      </c>
      <c r="FY12" s="7" t="n">
        <v>47</v>
      </c>
      <c r="FZ12" s="7" t="n">
        <v>58</v>
      </c>
      <c r="GA12" s="7" t="n">
        <v>50</v>
      </c>
      <c r="GB12" s="7" t="n">
        <v>45</v>
      </c>
      <c r="GC12" s="7" t="n">
        <v>52</v>
      </c>
      <c r="GD12" s="7" t="n">
        <v>50</v>
      </c>
      <c r="GE12" s="7" t="n">
        <v>54</v>
      </c>
      <c r="GF12" s="7" t="n">
        <v>48</v>
      </c>
      <c r="GG12" s="7" t="n">
        <v>46</v>
      </c>
      <c r="GH12" s="7" t="n">
        <v>49</v>
      </c>
      <c r="GI12" s="7" t="n">
        <v>42</v>
      </c>
      <c r="GJ12" s="7" t="n">
        <v>51</v>
      </c>
      <c r="GK12" s="7" t="n">
        <v>54</v>
      </c>
      <c r="GL12" s="7" t="n">
        <v>52</v>
      </c>
      <c r="GM12" s="7" t="n">
        <v>52</v>
      </c>
      <c r="GN12" s="7" t="n">
        <v>57</v>
      </c>
      <c r="GO12" s="7" t="n">
        <v>55</v>
      </c>
      <c r="GP12" s="7" t="n">
        <v>54</v>
      </c>
      <c r="GQ12" s="7" t="n">
        <v>55</v>
      </c>
      <c r="GR12" s="7" t="n">
        <v>51</v>
      </c>
      <c r="GS12" s="7" t="n">
        <v>56</v>
      </c>
      <c r="GT12" s="7" t="n">
        <v>56</v>
      </c>
      <c r="GU12" s="7" t="n">
        <v>50</v>
      </c>
      <c r="GV12" s="7" t="n">
        <v>58</v>
      </c>
      <c r="GW12" s="7" t="n">
        <v>52</v>
      </c>
      <c r="GX12" s="7" t="n">
        <v>60</v>
      </c>
      <c r="GY12" s="7" t="n">
        <v>55</v>
      </c>
      <c r="GZ12" s="7" t="n">
        <v>55</v>
      </c>
      <c r="HA12" s="7" t="n">
        <v>54</v>
      </c>
      <c r="HB12" s="7" t="n">
        <v>55</v>
      </c>
      <c r="HC12" s="7" t="n">
        <v>54</v>
      </c>
      <c r="HD12" s="7" t="n">
        <v>60</v>
      </c>
      <c r="HE12" s="7" t="n">
        <v>52</v>
      </c>
      <c r="HF12" s="7" t="n">
        <v>52</v>
      </c>
      <c r="HG12" s="7" t="n">
        <v>47</v>
      </c>
      <c r="HH12" s="7" t="n">
        <v>58</v>
      </c>
      <c r="HI12" s="7" t="n">
        <v>56</v>
      </c>
      <c r="HJ12" s="7" t="n">
        <v>57</v>
      </c>
      <c r="HK12" s="7" t="n">
        <v>58</v>
      </c>
      <c r="HL12" s="7" t="n">
        <v>56</v>
      </c>
      <c r="HM12" s="7" t="n">
        <v>52</v>
      </c>
      <c r="HN12" s="7" t="n">
        <v>60</v>
      </c>
      <c r="HO12" s="7" t="n">
        <v>59</v>
      </c>
      <c r="HP12" s="7" t="n">
        <v>52</v>
      </c>
      <c r="HQ12" s="7" t="n">
        <v>55</v>
      </c>
      <c r="HR12" s="7" t="n">
        <v>61</v>
      </c>
      <c r="HS12" s="7" t="n">
        <v>57</v>
      </c>
      <c r="HT12" s="7" t="n">
        <v>63</v>
      </c>
      <c r="HU12" s="7" t="n">
        <v>54</v>
      </c>
      <c r="HV12" s="7" t="n">
        <v>49</v>
      </c>
      <c r="HW12" s="7" t="n">
        <v>52</v>
      </c>
      <c r="HX12" s="7" t="n">
        <v>49</v>
      </c>
      <c r="HY12" s="7" t="n">
        <v>45</v>
      </c>
      <c r="HZ12" s="7" t="n">
        <v>34</v>
      </c>
      <c r="IA12" s="7" t="n">
        <v>25</v>
      </c>
      <c r="IB12" s="7" t="n">
        <v>8</v>
      </c>
      <c r="IC12" s="7" t="n">
        <v>18</v>
      </c>
      <c r="ID12" s="7" t="n">
        <v>27</v>
      </c>
      <c r="IE12" s="16" t="n">
        <v>23</v>
      </c>
      <c r="IF12" s="7" t="n">
        <v>33</v>
      </c>
      <c r="IG12" s="7" t="n">
        <v>30</v>
      </c>
      <c r="IH12" s="7" t="n">
        <v>31</v>
      </c>
      <c r="II12" s="7" t="n">
        <v>31</v>
      </c>
      <c r="IJ12" s="7" t="n">
        <v>40</v>
      </c>
      <c r="IK12" s="7" t="n">
        <v>39</v>
      </c>
      <c r="IL12" s="7" t="n">
        <v>40</v>
      </c>
      <c r="IM12" s="7" t="n">
        <v>45</v>
      </c>
      <c r="IN12" s="7" t="n">
        <v>43</v>
      </c>
      <c r="IO12" s="7" t="n">
        <v>48</v>
      </c>
      <c r="IP12" s="7" t="n">
        <v>52</v>
      </c>
      <c r="IQ12" s="7"/>
      <c r="IR12" s="7"/>
      <c r="IS12" s="7"/>
      <c r="IT12" s="7"/>
      <c r="IU12" s="7"/>
      <c r="IV12" s="7"/>
      <c r="IW12" s="7"/>
      <c r="IX12" s="7"/>
      <c r="IY12" s="7"/>
      <c r="IZ12" s="7"/>
    </row>
    <row r="13" customFormat="false" ht="22.5" hidden="false" customHeight="true" outlineLevel="0" collapsed="false">
      <c r="A13" s="15" t="s">
        <v>292</v>
      </c>
      <c r="B13" s="7" t="n">
        <v>61</v>
      </c>
      <c r="C13" s="7" t="n">
        <v>51</v>
      </c>
      <c r="D13" s="7" t="n">
        <v>56</v>
      </c>
      <c r="E13" s="7" t="n">
        <v>60</v>
      </c>
      <c r="F13" s="7" t="n">
        <v>62</v>
      </c>
      <c r="G13" s="7" t="n">
        <v>52</v>
      </c>
      <c r="H13" s="7" t="n">
        <v>61</v>
      </c>
      <c r="I13" s="7" t="n">
        <v>61</v>
      </c>
      <c r="J13" s="7" t="n">
        <v>59</v>
      </c>
      <c r="K13" s="7" t="n">
        <v>58</v>
      </c>
      <c r="L13" s="7" t="n">
        <v>58</v>
      </c>
      <c r="M13" s="7" t="n">
        <v>54</v>
      </c>
      <c r="N13" s="7" t="n">
        <v>53</v>
      </c>
      <c r="O13" s="7" t="n">
        <v>57</v>
      </c>
      <c r="P13" s="7" t="n">
        <v>55</v>
      </c>
      <c r="Q13" s="7" t="n">
        <v>55</v>
      </c>
      <c r="R13" s="7" t="n">
        <v>57</v>
      </c>
      <c r="S13" s="7" t="n">
        <v>56</v>
      </c>
      <c r="T13" s="7" t="n">
        <v>58</v>
      </c>
      <c r="U13" s="7" t="n">
        <v>51</v>
      </c>
      <c r="V13" s="7" t="n">
        <v>58</v>
      </c>
      <c r="W13" s="7" t="n">
        <v>60</v>
      </c>
      <c r="X13" s="7" t="n">
        <v>53</v>
      </c>
      <c r="Y13" s="7" t="n">
        <v>53</v>
      </c>
      <c r="Z13" s="7" t="n">
        <v>50</v>
      </c>
      <c r="AA13" s="7" t="n">
        <v>52</v>
      </c>
      <c r="AB13" s="7" t="n">
        <v>58</v>
      </c>
      <c r="AC13" s="7" t="n">
        <v>56</v>
      </c>
      <c r="AD13" s="7" t="n">
        <v>55</v>
      </c>
      <c r="AE13" s="7" t="n">
        <v>49</v>
      </c>
      <c r="AF13" s="7" t="n">
        <v>50</v>
      </c>
      <c r="AG13" s="7" t="n">
        <v>53</v>
      </c>
      <c r="AH13" s="7" t="n">
        <v>53</v>
      </c>
      <c r="AI13" s="7" t="n">
        <v>54</v>
      </c>
      <c r="AJ13" s="7" t="n">
        <v>48</v>
      </c>
      <c r="AK13" s="7" t="n">
        <v>53</v>
      </c>
      <c r="AL13" s="7" t="n">
        <v>54</v>
      </c>
      <c r="AM13" s="7" t="n">
        <v>54</v>
      </c>
      <c r="AN13" s="7" t="n">
        <v>53</v>
      </c>
      <c r="AO13" s="7" t="n">
        <v>53</v>
      </c>
      <c r="AP13" s="7" t="n">
        <v>53</v>
      </c>
      <c r="AQ13" s="7" t="n">
        <v>47</v>
      </c>
      <c r="AR13" s="7" t="n">
        <v>54</v>
      </c>
      <c r="AS13" s="7" t="n">
        <v>49</v>
      </c>
      <c r="AT13" s="7" t="n">
        <v>50</v>
      </c>
      <c r="AU13" s="7" t="n">
        <v>55</v>
      </c>
      <c r="AV13" s="7" t="n">
        <v>46</v>
      </c>
      <c r="AW13" s="7" t="n">
        <v>50</v>
      </c>
      <c r="AX13" s="7" t="n">
        <v>50</v>
      </c>
      <c r="AY13" s="7" t="n">
        <v>50</v>
      </c>
      <c r="AZ13" s="7" t="n">
        <v>52</v>
      </c>
      <c r="BA13" s="7" t="n">
        <v>55</v>
      </c>
      <c r="BB13" s="7" t="n">
        <v>52</v>
      </c>
      <c r="BC13" s="7" t="n">
        <v>50</v>
      </c>
      <c r="BD13" s="7" t="n">
        <v>46</v>
      </c>
      <c r="BE13" s="7" t="n">
        <v>53</v>
      </c>
      <c r="BF13" s="7" t="n">
        <v>54</v>
      </c>
      <c r="BG13" s="7" t="n">
        <v>51</v>
      </c>
      <c r="BH13" s="7" t="n">
        <v>54</v>
      </c>
      <c r="BI13" s="7" t="n">
        <v>53</v>
      </c>
      <c r="BJ13" s="7" t="n">
        <v>54</v>
      </c>
      <c r="BK13" s="7" t="n">
        <v>44</v>
      </c>
      <c r="BL13" s="7" t="n">
        <v>44</v>
      </c>
      <c r="BM13" s="7" t="n">
        <v>45</v>
      </c>
      <c r="BN13" s="7" t="n">
        <v>51</v>
      </c>
      <c r="BO13" s="7" t="n">
        <v>43</v>
      </c>
      <c r="BP13" s="7" t="n">
        <v>45</v>
      </c>
      <c r="BQ13" s="7" t="n">
        <v>44</v>
      </c>
      <c r="BR13" s="7" t="n">
        <v>41</v>
      </c>
      <c r="BS13" s="7" t="n">
        <v>47</v>
      </c>
      <c r="BT13" s="7" t="n">
        <v>44</v>
      </c>
      <c r="BU13" s="7" t="n">
        <v>43</v>
      </c>
      <c r="BV13" s="7" t="n">
        <v>49</v>
      </c>
      <c r="BW13" s="7" t="n">
        <v>44</v>
      </c>
      <c r="BX13" s="7" t="n">
        <v>42</v>
      </c>
      <c r="BY13" s="7" t="n">
        <v>48</v>
      </c>
      <c r="BZ13" s="7" t="n">
        <v>49</v>
      </c>
      <c r="CA13" s="7" t="n">
        <v>45</v>
      </c>
      <c r="CB13" s="7" t="n">
        <v>45</v>
      </c>
      <c r="CC13" s="7" t="n">
        <v>45</v>
      </c>
      <c r="CD13" s="7" t="n">
        <v>49</v>
      </c>
      <c r="CE13" s="7" t="n">
        <v>49</v>
      </c>
      <c r="CF13" s="7" t="n">
        <v>43</v>
      </c>
      <c r="CG13" s="7" t="n">
        <v>46</v>
      </c>
      <c r="CH13" s="7" t="n">
        <v>47</v>
      </c>
      <c r="CI13" s="7" t="n">
        <v>51</v>
      </c>
      <c r="CJ13" s="7" t="n">
        <v>46</v>
      </c>
      <c r="CK13" s="7" t="n">
        <v>50</v>
      </c>
      <c r="CL13" s="7" t="n">
        <v>46</v>
      </c>
      <c r="CM13" s="7" t="n">
        <v>48</v>
      </c>
      <c r="CN13" s="7" t="n">
        <v>50</v>
      </c>
      <c r="CO13" s="7" t="n">
        <v>46</v>
      </c>
      <c r="CP13" s="7" t="n">
        <v>47</v>
      </c>
      <c r="CQ13" s="7" t="n">
        <v>44</v>
      </c>
      <c r="CR13" s="7" t="n">
        <v>49</v>
      </c>
      <c r="CS13" s="7" t="n">
        <v>49</v>
      </c>
      <c r="CT13" s="7" t="n">
        <v>40</v>
      </c>
      <c r="CU13" s="7" t="n">
        <v>48</v>
      </c>
      <c r="CV13" s="7" t="n">
        <v>49</v>
      </c>
      <c r="CW13" s="7" t="n">
        <v>50</v>
      </c>
      <c r="CX13" s="7" t="n">
        <v>46</v>
      </c>
      <c r="CY13" s="7" t="n">
        <v>45</v>
      </c>
      <c r="CZ13" s="7" t="n">
        <v>46</v>
      </c>
      <c r="DA13" s="7" t="n">
        <v>47</v>
      </c>
      <c r="DB13" s="7" t="n">
        <v>49</v>
      </c>
      <c r="DC13" s="7" t="n">
        <v>45</v>
      </c>
      <c r="DD13" s="7" t="n">
        <v>50</v>
      </c>
      <c r="DE13" s="7" t="n">
        <v>50</v>
      </c>
      <c r="DF13" s="7" t="n">
        <v>49</v>
      </c>
      <c r="DG13" s="7" t="n">
        <v>49</v>
      </c>
      <c r="DH13" s="7" t="n">
        <v>45</v>
      </c>
      <c r="DI13" s="7" t="n">
        <v>45</v>
      </c>
      <c r="DJ13" s="7" t="n">
        <v>45</v>
      </c>
      <c r="DK13" s="7" t="n">
        <v>49</v>
      </c>
      <c r="DL13" s="7" t="n">
        <v>49</v>
      </c>
      <c r="DM13" s="7" t="n">
        <v>43</v>
      </c>
      <c r="DN13" s="7" t="n">
        <v>46</v>
      </c>
      <c r="DO13" s="7" t="n">
        <v>47</v>
      </c>
      <c r="DP13" s="7" t="n">
        <v>46</v>
      </c>
      <c r="DQ13" s="7" t="n">
        <v>49</v>
      </c>
      <c r="DR13" s="7" t="n">
        <v>45</v>
      </c>
      <c r="DS13" s="7" t="n">
        <v>45</v>
      </c>
      <c r="DT13" s="7" t="n">
        <v>45</v>
      </c>
      <c r="DU13" s="7" t="n">
        <v>49</v>
      </c>
      <c r="DV13" s="7" t="n">
        <v>49</v>
      </c>
      <c r="DW13" s="7" t="n">
        <v>43</v>
      </c>
      <c r="DX13" s="7" t="n">
        <v>46</v>
      </c>
      <c r="DY13" s="7" t="n">
        <v>47</v>
      </c>
      <c r="DZ13" s="7" t="n">
        <v>46</v>
      </c>
      <c r="EA13" s="7" t="n">
        <v>47</v>
      </c>
      <c r="EB13" s="7" t="n">
        <v>46</v>
      </c>
      <c r="EC13" s="7" t="n">
        <v>51</v>
      </c>
      <c r="ED13" s="7" t="n">
        <v>49</v>
      </c>
      <c r="EE13" s="7" t="n">
        <v>54</v>
      </c>
      <c r="EF13" s="7" t="n">
        <v>52</v>
      </c>
      <c r="EG13" s="7" t="n">
        <v>54</v>
      </c>
      <c r="EH13" s="7" t="n">
        <v>56</v>
      </c>
      <c r="EI13" s="7" t="n">
        <v>52</v>
      </c>
      <c r="EJ13" s="7" t="n">
        <v>51</v>
      </c>
      <c r="EK13" s="7" t="n">
        <v>52</v>
      </c>
      <c r="EL13" s="7" t="n">
        <v>51</v>
      </c>
      <c r="EM13" s="7" t="n">
        <v>58</v>
      </c>
      <c r="EN13" s="7" t="n">
        <v>50</v>
      </c>
      <c r="EO13" s="7" t="n">
        <v>56</v>
      </c>
      <c r="EP13" s="7" t="n">
        <v>51</v>
      </c>
      <c r="EQ13" s="7" t="n">
        <v>57</v>
      </c>
      <c r="ER13" s="7" t="n">
        <v>55</v>
      </c>
      <c r="ES13" s="7" t="n">
        <v>51</v>
      </c>
      <c r="ET13" s="7" t="n">
        <v>55</v>
      </c>
      <c r="EU13" s="7" t="n">
        <v>54</v>
      </c>
      <c r="EV13" s="7" t="n">
        <v>50</v>
      </c>
      <c r="EW13" s="7" t="n">
        <v>52</v>
      </c>
      <c r="EX13" s="7" t="n">
        <v>52</v>
      </c>
      <c r="EY13" s="7" t="n">
        <v>46</v>
      </c>
      <c r="EZ13" s="7" t="n">
        <v>56</v>
      </c>
      <c r="FA13" s="7" t="n">
        <v>53</v>
      </c>
      <c r="FB13" s="7" t="n">
        <v>49</v>
      </c>
      <c r="FC13" s="7" t="n">
        <v>54</v>
      </c>
      <c r="FD13" s="7" t="n">
        <v>51</v>
      </c>
      <c r="FE13" s="7" t="n">
        <v>51</v>
      </c>
      <c r="FF13" s="7" t="n">
        <v>53</v>
      </c>
      <c r="FG13" s="7" t="n">
        <v>56</v>
      </c>
      <c r="FH13" s="7" t="n">
        <v>51</v>
      </c>
      <c r="FI13" s="7" t="n">
        <v>53</v>
      </c>
      <c r="FJ13" s="7" t="n">
        <v>43</v>
      </c>
      <c r="FK13" s="7" t="n">
        <v>46</v>
      </c>
      <c r="FL13" s="7" t="n">
        <v>50</v>
      </c>
      <c r="FM13" s="7" t="n">
        <v>51</v>
      </c>
      <c r="FN13" s="7" t="n">
        <v>44</v>
      </c>
      <c r="FO13" s="7" t="n">
        <v>55</v>
      </c>
      <c r="FP13" s="7" t="n">
        <v>49</v>
      </c>
      <c r="FQ13" s="7" t="n">
        <v>50</v>
      </c>
      <c r="FR13" s="7" t="n">
        <v>47</v>
      </c>
      <c r="FS13" s="7" t="n">
        <v>50</v>
      </c>
      <c r="FT13" s="7" t="n">
        <v>52</v>
      </c>
      <c r="FU13" s="7" t="n">
        <v>49</v>
      </c>
      <c r="FV13" s="7" t="n">
        <v>51</v>
      </c>
      <c r="FW13" s="7" t="n">
        <v>45</v>
      </c>
      <c r="FX13" s="7" t="n">
        <v>49</v>
      </c>
      <c r="FY13" s="7" t="n">
        <v>47</v>
      </c>
      <c r="FZ13" s="7" t="n">
        <v>57</v>
      </c>
      <c r="GA13" s="7" t="n">
        <v>54</v>
      </c>
      <c r="GB13" s="7" t="n">
        <v>52</v>
      </c>
      <c r="GC13" s="7" t="n">
        <v>49</v>
      </c>
      <c r="GD13" s="7" t="n">
        <v>51</v>
      </c>
      <c r="GE13" s="7" t="n">
        <v>50</v>
      </c>
      <c r="GF13" s="7" t="n">
        <v>53</v>
      </c>
      <c r="GG13" s="7" t="n">
        <v>44</v>
      </c>
      <c r="GH13" s="7" t="n">
        <v>49</v>
      </c>
      <c r="GI13" s="7" t="n">
        <v>51</v>
      </c>
      <c r="GJ13" s="7" t="n">
        <v>47</v>
      </c>
      <c r="GK13" s="7" t="n">
        <v>53</v>
      </c>
      <c r="GL13" s="7" t="n">
        <v>51</v>
      </c>
      <c r="GM13" s="7" t="n">
        <v>48</v>
      </c>
      <c r="GN13" s="7" t="n">
        <v>51</v>
      </c>
      <c r="GO13" s="7" t="n">
        <v>54</v>
      </c>
      <c r="GP13" s="7" t="n">
        <v>44</v>
      </c>
      <c r="GQ13" s="7" t="n">
        <v>52</v>
      </c>
      <c r="GR13" s="7" t="n">
        <v>51</v>
      </c>
      <c r="GS13" s="7" t="n">
        <v>48</v>
      </c>
      <c r="GT13" s="7" t="n">
        <v>52</v>
      </c>
      <c r="GU13" s="7" t="n">
        <v>48</v>
      </c>
      <c r="GV13" s="7" t="n">
        <v>56</v>
      </c>
      <c r="GW13" s="7" t="n">
        <v>53</v>
      </c>
      <c r="GX13" s="7" t="n">
        <v>51</v>
      </c>
      <c r="GY13" s="7" t="n">
        <v>56</v>
      </c>
      <c r="GZ13" s="7" t="n">
        <v>54</v>
      </c>
      <c r="HA13" s="7" t="n">
        <v>59</v>
      </c>
      <c r="HB13" s="7" t="n">
        <v>54</v>
      </c>
      <c r="HC13" s="7" t="n">
        <v>54</v>
      </c>
      <c r="HD13" s="7" t="n">
        <v>51</v>
      </c>
      <c r="HE13" s="7" t="n">
        <v>57</v>
      </c>
      <c r="HF13" s="7" t="n">
        <v>49</v>
      </c>
      <c r="HG13" s="7" t="n">
        <v>50</v>
      </c>
      <c r="HH13" s="7" t="n">
        <v>50</v>
      </c>
      <c r="HI13" s="7" t="n">
        <v>57</v>
      </c>
      <c r="HJ13" s="7" t="n">
        <v>52</v>
      </c>
      <c r="HK13" s="7" t="n">
        <v>56</v>
      </c>
      <c r="HL13" s="7" t="n">
        <v>50</v>
      </c>
      <c r="HM13" s="7" t="n">
        <v>55</v>
      </c>
      <c r="HN13" s="7" t="n">
        <v>50</v>
      </c>
      <c r="HO13" s="7" t="n">
        <v>56</v>
      </c>
      <c r="HP13" s="7" t="n">
        <v>52</v>
      </c>
      <c r="HQ13" s="7" t="n">
        <v>49</v>
      </c>
      <c r="HR13" s="7" t="n">
        <v>51</v>
      </c>
      <c r="HS13" s="7" t="n">
        <v>56</v>
      </c>
      <c r="HT13" s="7" t="n">
        <v>52</v>
      </c>
      <c r="HU13" s="7" t="n">
        <v>51</v>
      </c>
      <c r="HV13" s="7" t="n">
        <v>51</v>
      </c>
      <c r="HW13" s="7" t="n">
        <v>42</v>
      </c>
      <c r="HX13" s="7" t="n">
        <v>52</v>
      </c>
      <c r="HY13" s="7" t="n">
        <v>36</v>
      </c>
      <c r="HZ13" s="7" t="n">
        <v>29</v>
      </c>
      <c r="IA13" s="7" t="n">
        <v>24</v>
      </c>
      <c r="IB13" s="7" t="n">
        <v>13</v>
      </c>
      <c r="IC13" s="7" t="n">
        <v>16</v>
      </c>
      <c r="ID13" s="7" t="n">
        <v>21</v>
      </c>
      <c r="IE13" s="16" t="n">
        <v>26</v>
      </c>
      <c r="IF13" s="7" t="n">
        <v>23</v>
      </c>
      <c r="IG13" s="7" t="n">
        <v>24</v>
      </c>
      <c r="IH13" s="7" t="n">
        <v>26</v>
      </c>
      <c r="II13" s="7" t="n">
        <v>26</v>
      </c>
      <c r="IJ13" s="7" t="n">
        <v>36</v>
      </c>
      <c r="IK13" s="7" t="n">
        <v>31</v>
      </c>
      <c r="IL13" s="7" t="n">
        <v>32</v>
      </c>
      <c r="IM13" s="7" t="n">
        <v>47</v>
      </c>
      <c r="IN13" s="7" t="n">
        <v>44</v>
      </c>
      <c r="IO13" s="7" t="n">
        <v>47</v>
      </c>
      <c r="IP13" s="7" t="n">
        <v>41</v>
      </c>
      <c r="IQ13" s="7"/>
      <c r="IR13" s="7"/>
      <c r="IS13" s="7"/>
      <c r="IT13" s="7"/>
      <c r="IU13" s="7"/>
      <c r="IV13" s="7"/>
      <c r="IW13" s="7"/>
      <c r="IX13" s="7"/>
      <c r="IY13" s="7"/>
      <c r="IZ13" s="7"/>
    </row>
    <row r="14" customFormat="false" ht="22.5" hidden="false" customHeight="true" outlineLevel="0" collapsed="false">
      <c r="A14" s="15" t="s">
        <v>293</v>
      </c>
      <c r="B14" s="7" t="n">
        <v>55</v>
      </c>
      <c r="C14" s="7" t="n">
        <v>57</v>
      </c>
      <c r="D14" s="7" t="n">
        <v>55</v>
      </c>
      <c r="E14" s="7" t="n">
        <v>53</v>
      </c>
      <c r="F14" s="7" t="n">
        <v>60</v>
      </c>
      <c r="G14" s="7" t="n">
        <v>53</v>
      </c>
      <c r="H14" s="7" t="n">
        <v>55</v>
      </c>
      <c r="I14" s="7" t="n">
        <v>53</v>
      </c>
      <c r="J14" s="7" t="n">
        <v>58</v>
      </c>
      <c r="K14" s="7" t="n">
        <v>53</v>
      </c>
      <c r="L14" s="7" t="n">
        <v>55</v>
      </c>
      <c r="M14" s="7" t="n">
        <v>53</v>
      </c>
      <c r="N14" s="7" t="n">
        <v>56</v>
      </c>
      <c r="O14" s="7" t="n">
        <v>53</v>
      </c>
      <c r="P14" s="7" t="n">
        <v>53</v>
      </c>
      <c r="Q14" s="7" t="n">
        <v>58</v>
      </c>
      <c r="R14" s="7" t="n">
        <v>60</v>
      </c>
      <c r="S14" s="7" t="n">
        <v>48</v>
      </c>
      <c r="T14" s="7" t="n">
        <v>54</v>
      </c>
      <c r="U14" s="7" t="n">
        <v>44</v>
      </c>
      <c r="V14" s="7" t="n">
        <v>53</v>
      </c>
      <c r="W14" s="7" t="n">
        <v>54</v>
      </c>
      <c r="X14" s="7" t="n">
        <v>53</v>
      </c>
      <c r="Y14" s="7" t="n">
        <v>53</v>
      </c>
      <c r="Z14" s="7" t="n">
        <v>55</v>
      </c>
      <c r="AA14" s="7" t="n">
        <v>48</v>
      </c>
      <c r="AB14" s="7" t="n">
        <v>49</v>
      </c>
      <c r="AC14" s="7" t="n">
        <v>48</v>
      </c>
      <c r="AD14" s="7" t="n">
        <v>41</v>
      </c>
      <c r="AE14" s="7" t="n">
        <v>32</v>
      </c>
      <c r="AF14" s="7" t="n">
        <v>51</v>
      </c>
      <c r="AG14" s="7" t="n">
        <v>49</v>
      </c>
      <c r="AH14" s="7" t="n">
        <v>46</v>
      </c>
      <c r="AI14" s="7" t="n">
        <v>48</v>
      </c>
      <c r="AJ14" s="7" t="n">
        <v>51</v>
      </c>
      <c r="AK14" s="7" t="n">
        <v>45</v>
      </c>
      <c r="AL14" s="7" t="n">
        <v>51</v>
      </c>
      <c r="AM14" s="7" t="n">
        <v>43</v>
      </c>
      <c r="AN14" s="7" t="n">
        <v>52</v>
      </c>
      <c r="AO14" s="7" t="n">
        <v>49</v>
      </c>
      <c r="AP14" s="7" t="n">
        <v>46</v>
      </c>
      <c r="AQ14" s="7" t="n">
        <v>49</v>
      </c>
      <c r="AR14" s="7" t="n">
        <v>52</v>
      </c>
      <c r="AS14" s="7" t="n">
        <v>52</v>
      </c>
      <c r="AT14" s="7" t="n">
        <v>51</v>
      </c>
      <c r="AU14" s="7" t="n">
        <v>54</v>
      </c>
      <c r="AV14" s="7" t="n">
        <v>41</v>
      </c>
      <c r="AW14" s="7" t="n">
        <v>47</v>
      </c>
      <c r="AX14" s="7" t="n">
        <v>47</v>
      </c>
      <c r="AY14" s="7" t="n">
        <v>48</v>
      </c>
      <c r="AZ14" s="7" t="n">
        <v>39</v>
      </c>
      <c r="BA14" s="7" t="n">
        <v>46</v>
      </c>
      <c r="BB14" s="7" t="n">
        <v>44</v>
      </c>
      <c r="BC14" s="7" t="n">
        <v>43</v>
      </c>
      <c r="BD14" s="7" t="n">
        <v>48</v>
      </c>
      <c r="BE14" s="7" t="n">
        <v>43</v>
      </c>
      <c r="BF14" s="7" t="n">
        <v>45</v>
      </c>
      <c r="BG14" s="7" t="n">
        <v>46</v>
      </c>
      <c r="BH14" s="7" t="n">
        <v>47</v>
      </c>
      <c r="BI14" s="7" t="n">
        <v>47</v>
      </c>
      <c r="BJ14" s="7" t="n">
        <v>46</v>
      </c>
      <c r="BK14" s="7" t="n">
        <v>42</v>
      </c>
      <c r="BL14" s="7" t="n">
        <v>47</v>
      </c>
      <c r="BM14" s="7" t="n">
        <v>50</v>
      </c>
      <c r="BN14" s="7" t="n">
        <v>46</v>
      </c>
      <c r="BO14" s="7" t="n">
        <v>45</v>
      </c>
      <c r="BP14" s="7" t="n">
        <v>45</v>
      </c>
      <c r="BQ14" s="7" t="n">
        <v>40</v>
      </c>
      <c r="BR14" s="7" t="n">
        <v>45</v>
      </c>
      <c r="BS14" s="7" t="n">
        <v>41</v>
      </c>
      <c r="BT14" s="7" t="n">
        <v>39</v>
      </c>
      <c r="BU14" s="7" t="n">
        <v>42</v>
      </c>
      <c r="BV14" s="7" t="n">
        <v>39</v>
      </c>
      <c r="BW14" s="7" t="n">
        <v>39</v>
      </c>
      <c r="BX14" s="7" t="n">
        <v>42</v>
      </c>
      <c r="BY14" s="7" t="n">
        <v>36</v>
      </c>
      <c r="BZ14" s="7" t="n">
        <v>36</v>
      </c>
      <c r="CA14" s="7" t="n">
        <v>39</v>
      </c>
      <c r="CB14" s="7" t="n">
        <v>41</v>
      </c>
      <c r="CC14" s="7" t="n">
        <v>44</v>
      </c>
      <c r="CD14" s="7" t="n">
        <v>38</v>
      </c>
      <c r="CE14" s="7" t="n">
        <v>38</v>
      </c>
      <c r="CF14" s="7" t="n">
        <v>36</v>
      </c>
      <c r="CG14" s="7" t="n">
        <v>46</v>
      </c>
      <c r="CH14" s="7" t="n">
        <v>34</v>
      </c>
      <c r="CI14" s="7" t="n">
        <v>32</v>
      </c>
      <c r="CJ14" s="7" t="n">
        <v>36</v>
      </c>
      <c r="CK14" s="7" t="n">
        <v>44</v>
      </c>
      <c r="CL14" s="7" t="n">
        <v>41</v>
      </c>
      <c r="CM14" s="7" t="n">
        <v>39</v>
      </c>
      <c r="CN14" s="7" t="n">
        <v>38</v>
      </c>
      <c r="CO14" s="7" t="n">
        <v>39</v>
      </c>
      <c r="CP14" s="7" t="n">
        <v>42</v>
      </c>
      <c r="CQ14" s="7" t="n">
        <v>37</v>
      </c>
      <c r="CR14" s="7" t="n">
        <v>38</v>
      </c>
      <c r="CS14" s="7" t="n">
        <v>39</v>
      </c>
      <c r="CT14" s="7" t="n">
        <v>35</v>
      </c>
      <c r="CU14" s="7" t="n">
        <v>42</v>
      </c>
      <c r="CV14" s="7" t="n">
        <v>34</v>
      </c>
      <c r="CW14" s="7" t="n">
        <v>40</v>
      </c>
      <c r="CX14" s="7" t="n">
        <v>35</v>
      </c>
      <c r="CY14" s="7" t="n">
        <v>31</v>
      </c>
      <c r="CZ14" s="7" t="n">
        <v>36</v>
      </c>
      <c r="DA14" s="7" t="n">
        <v>37</v>
      </c>
      <c r="DB14" s="7" t="n">
        <v>42</v>
      </c>
      <c r="DC14" s="7" t="n">
        <v>41</v>
      </c>
      <c r="DD14" s="7" t="n">
        <v>40</v>
      </c>
      <c r="DE14" s="7" t="n">
        <v>35</v>
      </c>
      <c r="DF14" s="7" t="n">
        <v>36</v>
      </c>
      <c r="DG14" s="7" t="n">
        <v>36</v>
      </c>
      <c r="DH14" s="7" t="n">
        <v>39</v>
      </c>
      <c r="DI14" s="7" t="n">
        <v>41</v>
      </c>
      <c r="DJ14" s="7" t="n">
        <v>44</v>
      </c>
      <c r="DK14" s="7" t="n">
        <v>38</v>
      </c>
      <c r="DL14" s="7" t="n">
        <v>38</v>
      </c>
      <c r="DM14" s="7" t="n">
        <v>36</v>
      </c>
      <c r="DN14" s="7" t="n">
        <v>46</v>
      </c>
      <c r="DO14" s="7" t="n">
        <v>34</v>
      </c>
      <c r="DP14" s="7" t="n">
        <v>36</v>
      </c>
      <c r="DQ14" s="7" t="n">
        <v>36</v>
      </c>
      <c r="DR14" s="7" t="n">
        <v>39</v>
      </c>
      <c r="DS14" s="7" t="n">
        <v>41</v>
      </c>
      <c r="DT14" s="7" t="n">
        <v>44</v>
      </c>
      <c r="DU14" s="7" t="n">
        <v>38</v>
      </c>
      <c r="DV14" s="7" t="n">
        <v>38</v>
      </c>
      <c r="DW14" s="7" t="n">
        <v>36</v>
      </c>
      <c r="DX14" s="7" t="n">
        <v>46</v>
      </c>
      <c r="DY14" s="7" t="n">
        <v>34</v>
      </c>
      <c r="DZ14" s="7" t="n">
        <v>36</v>
      </c>
      <c r="EA14" s="7" t="n">
        <v>44</v>
      </c>
      <c r="EB14" s="7" t="n">
        <v>41</v>
      </c>
      <c r="EC14" s="7" t="n">
        <v>41</v>
      </c>
      <c r="ED14" s="7" t="n">
        <v>40</v>
      </c>
      <c r="EE14" s="7" t="n">
        <v>35</v>
      </c>
      <c r="EF14" s="7" t="n">
        <v>44</v>
      </c>
      <c r="EG14" s="7" t="n">
        <v>53</v>
      </c>
      <c r="EH14" s="7" t="n">
        <v>52</v>
      </c>
      <c r="EI14" s="7" t="n">
        <v>52</v>
      </c>
      <c r="EJ14" s="7" t="n">
        <v>44</v>
      </c>
      <c r="EK14" s="7" t="n">
        <v>48</v>
      </c>
      <c r="EL14" s="7" t="n">
        <v>53</v>
      </c>
      <c r="EM14" s="7" t="n">
        <v>48</v>
      </c>
      <c r="EN14" s="7" t="n">
        <v>53</v>
      </c>
      <c r="EO14" s="7" t="n">
        <v>48</v>
      </c>
      <c r="EP14" s="7" t="n">
        <v>49</v>
      </c>
      <c r="EQ14" s="7" t="n">
        <v>52</v>
      </c>
      <c r="ER14" s="7" t="n">
        <v>49</v>
      </c>
      <c r="ES14" s="7" t="n">
        <v>54</v>
      </c>
      <c r="ET14" s="7" t="n">
        <v>55</v>
      </c>
      <c r="EU14" s="7" t="n">
        <v>55</v>
      </c>
      <c r="EV14" s="7" t="n">
        <v>51</v>
      </c>
      <c r="EW14" s="7" t="n">
        <v>48</v>
      </c>
      <c r="EX14" s="7" t="n">
        <v>51</v>
      </c>
      <c r="EY14" s="7" t="n">
        <v>50</v>
      </c>
      <c r="EZ14" s="7" t="n">
        <v>56</v>
      </c>
      <c r="FA14" s="7" t="n">
        <v>53</v>
      </c>
      <c r="FB14" s="7" t="n">
        <v>49</v>
      </c>
      <c r="FC14" s="7" t="n">
        <v>44</v>
      </c>
      <c r="FD14" s="7" t="n">
        <v>52</v>
      </c>
      <c r="FE14" s="7" t="n">
        <v>48</v>
      </c>
      <c r="FF14" s="7" t="n">
        <v>58</v>
      </c>
      <c r="FG14" s="7" t="n">
        <v>53</v>
      </c>
      <c r="FH14" s="7" t="n">
        <v>48</v>
      </c>
      <c r="FI14" s="7" t="n">
        <v>58</v>
      </c>
      <c r="FJ14" s="7" t="n">
        <v>54</v>
      </c>
      <c r="FK14" s="7" t="n">
        <v>52</v>
      </c>
      <c r="FL14" s="7" t="n">
        <v>57</v>
      </c>
      <c r="FM14" s="7" t="n">
        <v>52</v>
      </c>
      <c r="FN14" s="7" t="n">
        <v>51</v>
      </c>
      <c r="FO14" s="7" t="n">
        <v>40</v>
      </c>
      <c r="FP14" s="7" t="n">
        <v>51</v>
      </c>
      <c r="FQ14" s="7" t="n">
        <v>43</v>
      </c>
      <c r="FR14" s="7" t="n">
        <v>55</v>
      </c>
      <c r="FS14" s="7" t="n">
        <v>51</v>
      </c>
      <c r="FT14" s="7" t="n">
        <v>45</v>
      </c>
      <c r="FU14" s="7" t="n">
        <v>48</v>
      </c>
      <c r="FV14" s="7" t="n">
        <v>49</v>
      </c>
      <c r="FW14" s="7" t="n">
        <v>48</v>
      </c>
      <c r="FX14" s="7" t="n">
        <v>46</v>
      </c>
      <c r="FY14" s="7" t="n">
        <v>50</v>
      </c>
      <c r="FZ14" s="7" t="n">
        <v>51</v>
      </c>
      <c r="GA14" s="7" t="n">
        <v>52</v>
      </c>
      <c r="GB14" s="7" t="n">
        <v>39</v>
      </c>
      <c r="GC14" s="7" t="n">
        <v>52</v>
      </c>
      <c r="GD14" s="7" t="n">
        <v>48</v>
      </c>
      <c r="GE14" s="7" t="n">
        <v>55</v>
      </c>
      <c r="GF14" s="7" t="n">
        <v>51</v>
      </c>
      <c r="GG14" s="7" t="n">
        <v>49</v>
      </c>
      <c r="GH14" s="7" t="n">
        <v>43</v>
      </c>
      <c r="GI14" s="7" t="n">
        <v>52</v>
      </c>
      <c r="GJ14" s="7" t="n">
        <v>53</v>
      </c>
      <c r="GK14" s="7" t="n">
        <v>53</v>
      </c>
      <c r="GL14" s="7" t="n">
        <v>53</v>
      </c>
      <c r="GM14" s="7" t="n">
        <v>47</v>
      </c>
      <c r="GN14" s="7" t="n">
        <v>54</v>
      </c>
      <c r="GO14" s="7" t="n">
        <v>56</v>
      </c>
      <c r="GP14" s="7" t="n">
        <v>50</v>
      </c>
      <c r="GQ14" s="7" t="n">
        <v>53</v>
      </c>
      <c r="GR14" s="7" t="n">
        <v>52</v>
      </c>
      <c r="GS14" s="7" t="n">
        <v>56</v>
      </c>
      <c r="GT14" s="7" t="n">
        <v>50</v>
      </c>
      <c r="GU14" s="7" t="n">
        <v>53</v>
      </c>
      <c r="GV14" s="7" t="n">
        <v>58</v>
      </c>
      <c r="GW14" s="7" t="n">
        <v>54</v>
      </c>
      <c r="GX14" s="7" t="n">
        <v>57</v>
      </c>
      <c r="GY14" s="7" t="n">
        <v>47</v>
      </c>
      <c r="GZ14" s="7" t="n">
        <v>56</v>
      </c>
      <c r="HA14" s="7" t="n">
        <v>52</v>
      </c>
      <c r="HB14" s="7" t="n">
        <v>57</v>
      </c>
      <c r="HC14" s="7" t="n">
        <v>55</v>
      </c>
      <c r="HD14" s="7" t="n">
        <v>54</v>
      </c>
      <c r="HE14" s="7" t="n">
        <v>51</v>
      </c>
      <c r="HF14" s="7" t="n">
        <v>53</v>
      </c>
      <c r="HG14" s="7" t="n">
        <v>49</v>
      </c>
      <c r="HH14" s="7" t="n">
        <v>49</v>
      </c>
      <c r="HI14" s="7" t="n">
        <v>57</v>
      </c>
      <c r="HJ14" s="7" t="n">
        <v>52</v>
      </c>
      <c r="HK14" s="7" t="n">
        <v>54</v>
      </c>
      <c r="HL14" s="7" t="n">
        <v>53</v>
      </c>
      <c r="HM14" s="7" t="n">
        <v>47</v>
      </c>
      <c r="HN14" s="7" t="n">
        <v>54</v>
      </c>
      <c r="HO14" s="7" t="n">
        <v>51</v>
      </c>
      <c r="HP14" s="7" t="n">
        <v>55</v>
      </c>
      <c r="HQ14" s="7" t="n">
        <v>53</v>
      </c>
      <c r="HR14" s="7" t="n">
        <v>51</v>
      </c>
      <c r="HS14" s="7" t="n">
        <v>57</v>
      </c>
      <c r="HT14" s="7" t="n">
        <v>47</v>
      </c>
      <c r="HU14" s="7" t="n">
        <v>48</v>
      </c>
      <c r="HV14" s="7" t="n">
        <v>47</v>
      </c>
      <c r="HW14" s="7" t="n">
        <v>45</v>
      </c>
      <c r="HX14" s="7" t="n">
        <v>38</v>
      </c>
      <c r="HY14" s="7" t="n">
        <v>32</v>
      </c>
      <c r="HZ14" s="7" t="n">
        <v>24</v>
      </c>
      <c r="IA14" s="7" t="n">
        <v>15</v>
      </c>
      <c r="IB14" s="7" t="n">
        <v>10</v>
      </c>
      <c r="IC14" s="7" t="n">
        <v>15</v>
      </c>
      <c r="ID14" s="7" t="n">
        <v>9</v>
      </c>
      <c r="IE14" s="16" t="n">
        <v>22</v>
      </c>
      <c r="IF14" s="7" t="n">
        <v>25</v>
      </c>
      <c r="IG14" s="7" t="n">
        <v>20</v>
      </c>
      <c r="IH14" s="7" t="n">
        <v>20</v>
      </c>
      <c r="II14" s="7" t="n">
        <v>20</v>
      </c>
      <c r="IJ14" s="7" t="n">
        <v>26</v>
      </c>
      <c r="IK14" s="7" t="n">
        <v>23</v>
      </c>
      <c r="IL14" s="7" t="n">
        <v>25</v>
      </c>
      <c r="IM14" s="7" t="n">
        <v>32</v>
      </c>
      <c r="IN14" s="7" t="n">
        <v>32</v>
      </c>
      <c r="IO14" s="7" t="n">
        <v>32</v>
      </c>
      <c r="IP14" s="7" t="n">
        <v>36</v>
      </c>
      <c r="IQ14" s="7"/>
      <c r="IR14" s="7"/>
      <c r="IS14" s="7"/>
      <c r="IT14" s="7"/>
      <c r="IU14" s="7"/>
      <c r="IV14" s="7"/>
      <c r="IW14" s="7"/>
      <c r="IX14" s="7"/>
      <c r="IY14" s="7"/>
      <c r="IZ14" s="7"/>
    </row>
    <row r="15" customFormat="false" ht="22.5" hidden="false" customHeight="true" outlineLevel="0" collapsed="false">
      <c r="A15" s="15" t="s">
        <v>294</v>
      </c>
      <c r="B15" s="7" t="n">
        <v>50</v>
      </c>
      <c r="C15" s="7" t="n">
        <v>56</v>
      </c>
      <c r="D15" s="7" t="n">
        <v>56</v>
      </c>
      <c r="E15" s="7" t="n">
        <v>55</v>
      </c>
      <c r="F15" s="7" t="n">
        <v>57</v>
      </c>
      <c r="G15" s="7" t="n">
        <v>51</v>
      </c>
      <c r="H15" s="7" t="n">
        <v>50</v>
      </c>
      <c r="I15" s="7" t="n">
        <v>59</v>
      </c>
      <c r="J15" s="7" t="n">
        <v>46</v>
      </c>
      <c r="K15" s="7" t="n">
        <v>55</v>
      </c>
      <c r="L15" s="7" t="n">
        <v>52</v>
      </c>
      <c r="M15" s="7" t="n">
        <v>60</v>
      </c>
      <c r="N15" s="7" t="n">
        <v>50</v>
      </c>
      <c r="O15" s="7" t="n">
        <v>55</v>
      </c>
      <c r="P15" s="7" t="n">
        <v>52</v>
      </c>
      <c r="Q15" s="7" t="n">
        <v>52</v>
      </c>
      <c r="R15" s="7" t="n">
        <v>58</v>
      </c>
      <c r="S15" s="7" t="n">
        <v>61</v>
      </c>
      <c r="T15" s="7" t="n">
        <v>53</v>
      </c>
      <c r="U15" s="7" t="n">
        <v>44</v>
      </c>
      <c r="V15" s="7" t="n">
        <v>58</v>
      </c>
      <c r="W15" s="7" t="n">
        <v>54</v>
      </c>
      <c r="X15" s="7" t="n">
        <v>51</v>
      </c>
      <c r="Y15" s="7" t="n">
        <v>55</v>
      </c>
      <c r="Z15" s="7" t="n">
        <v>44</v>
      </c>
      <c r="AA15" s="7" t="n">
        <v>52</v>
      </c>
      <c r="AB15" s="7" t="n">
        <v>55</v>
      </c>
      <c r="AC15" s="7" t="n">
        <v>53</v>
      </c>
      <c r="AD15" s="7" t="n">
        <v>51</v>
      </c>
      <c r="AE15" s="7" t="n">
        <v>43</v>
      </c>
      <c r="AF15" s="7" t="n">
        <v>53</v>
      </c>
      <c r="AG15" s="7" t="n">
        <v>51</v>
      </c>
      <c r="AH15" s="7" t="n">
        <v>48</v>
      </c>
      <c r="AI15" s="7" t="n">
        <v>50</v>
      </c>
      <c r="AJ15" s="7" t="n">
        <v>47</v>
      </c>
      <c r="AK15" s="7" t="n">
        <v>47</v>
      </c>
      <c r="AL15" s="7" t="n">
        <v>50</v>
      </c>
      <c r="AM15" s="7" t="n">
        <v>50</v>
      </c>
      <c r="AN15" s="7" t="n">
        <v>48</v>
      </c>
      <c r="AO15" s="7" t="n">
        <v>52</v>
      </c>
      <c r="AP15" s="7" t="n">
        <v>48</v>
      </c>
      <c r="AQ15" s="7" t="n">
        <v>52</v>
      </c>
      <c r="AR15" s="7" t="n">
        <v>47</v>
      </c>
      <c r="AS15" s="7" t="n">
        <v>53</v>
      </c>
      <c r="AT15" s="7" t="n">
        <v>50</v>
      </c>
      <c r="AU15" s="7" t="n">
        <v>50</v>
      </c>
      <c r="AV15" s="7" t="n">
        <v>46</v>
      </c>
      <c r="AW15" s="7" t="n">
        <v>54</v>
      </c>
      <c r="AX15" s="7" t="n">
        <v>50</v>
      </c>
      <c r="AY15" s="7" t="n">
        <v>50</v>
      </c>
      <c r="AZ15" s="7" t="n">
        <v>50</v>
      </c>
      <c r="BA15" s="7" t="n">
        <v>51</v>
      </c>
      <c r="BB15" s="7" t="n">
        <v>52</v>
      </c>
      <c r="BC15" s="7" t="n">
        <v>49</v>
      </c>
      <c r="BD15" s="7" t="n">
        <v>50</v>
      </c>
      <c r="BE15" s="7" t="n">
        <v>56</v>
      </c>
      <c r="BF15" s="7" t="n">
        <v>56</v>
      </c>
      <c r="BG15" s="7" t="n">
        <v>56</v>
      </c>
      <c r="BH15" s="7" t="n">
        <v>50</v>
      </c>
      <c r="BI15" s="7" t="n">
        <v>60</v>
      </c>
      <c r="BJ15" s="7" t="n">
        <v>59</v>
      </c>
      <c r="BK15" s="7" t="n">
        <v>50</v>
      </c>
      <c r="BL15" s="7" t="n">
        <v>50</v>
      </c>
      <c r="BM15" s="7" t="n">
        <v>52</v>
      </c>
      <c r="BN15" s="7" t="n">
        <v>57</v>
      </c>
      <c r="BO15" s="7" t="n">
        <v>54</v>
      </c>
      <c r="BP15" s="7" t="n">
        <v>52</v>
      </c>
      <c r="BQ15" s="7" t="n">
        <v>54</v>
      </c>
      <c r="BR15" s="7" t="n">
        <v>51</v>
      </c>
      <c r="BS15" s="7" t="n">
        <v>46</v>
      </c>
      <c r="BT15" s="7" t="n">
        <v>52</v>
      </c>
      <c r="BU15" s="7" t="n">
        <v>52</v>
      </c>
      <c r="BV15" s="7" t="n">
        <v>41</v>
      </c>
      <c r="BW15" s="7" t="n">
        <v>49</v>
      </c>
      <c r="BX15" s="7" t="n">
        <v>45</v>
      </c>
      <c r="BY15" s="7" t="n">
        <v>52</v>
      </c>
      <c r="BZ15" s="7" t="n">
        <v>55</v>
      </c>
      <c r="CA15" s="7" t="n">
        <v>54</v>
      </c>
      <c r="CB15" s="7" t="n">
        <v>46</v>
      </c>
      <c r="CC15" s="7" t="n">
        <v>46</v>
      </c>
      <c r="CD15" s="7" t="n">
        <v>48</v>
      </c>
      <c r="CE15" s="7" t="n">
        <v>46</v>
      </c>
      <c r="CF15" s="7" t="n">
        <v>55</v>
      </c>
      <c r="CG15" s="7" t="n">
        <v>53</v>
      </c>
      <c r="CH15" s="7" t="n">
        <v>54</v>
      </c>
      <c r="CI15" s="7" t="n">
        <v>55</v>
      </c>
      <c r="CJ15" s="7" t="n">
        <v>47</v>
      </c>
      <c r="CK15" s="7" t="n">
        <v>49</v>
      </c>
      <c r="CL15" s="7" t="n">
        <v>46</v>
      </c>
      <c r="CM15" s="7" t="n">
        <v>47</v>
      </c>
      <c r="CN15" s="7" t="n">
        <v>50</v>
      </c>
      <c r="CO15" s="7" t="n">
        <v>53</v>
      </c>
      <c r="CP15" s="7" t="n">
        <v>48</v>
      </c>
      <c r="CQ15" s="7" t="n">
        <v>57</v>
      </c>
      <c r="CR15" s="7" t="n">
        <v>51</v>
      </c>
      <c r="CS15" s="7" t="n">
        <v>53</v>
      </c>
      <c r="CT15" s="7" t="n">
        <v>39</v>
      </c>
      <c r="CU15" s="7" t="n">
        <v>48</v>
      </c>
      <c r="CV15" s="7" t="n">
        <v>52</v>
      </c>
      <c r="CW15" s="7" t="n">
        <v>51</v>
      </c>
      <c r="CX15" s="7" t="n">
        <v>58</v>
      </c>
      <c r="CY15" s="7" t="n">
        <v>43</v>
      </c>
      <c r="CZ15" s="7" t="n">
        <v>48</v>
      </c>
      <c r="DA15" s="7" t="n">
        <v>54</v>
      </c>
      <c r="DB15" s="7" t="n">
        <v>52</v>
      </c>
      <c r="DC15" s="7" t="n">
        <v>54</v>
      </c>
      <c r="DD15" s="7" t="n">
        <v>54</v>
      </c>
      <c r="DE15" s="7" t="n">
        <v>56</v>
      </c>
      <c r="DF15" s="7" t="n">
        <v>55</v>
      </c>
      <c r="DG15" s="7" t="n">
        <v>55</v>
      </c>
      <c r="DH15" s="7" t="n">
        <v>54</v>
      </c>
      <c r="DI15" s="7" t="n">
        <v>46</v>
      </c>
      <c r="DJ15" s="7" t="n">
        <v>46</v>
      </c>
      <c r="DK15" s="7" t="n">
        <v>48</v>
      </c>
      <c r="DL15" s="7" t="n">
        <v>46</v>
      </c>
      <c r="DM15" s="7" t="n">
        <v>55</v>
      </c>
      <c r="DN15" s="7" t="n">
        <v>53</v>
      </c>
      <c r="DO15" s="7" t="n">
        <v>54</v>
      </c>
      <c r="DP15" s="7" t="n">
        <v>47</v>
      </c>
      <c r="DQ15" s="7" t="n">
        <v>55</v>
      </c>
      <c r="DR15" s="7" t="n">
        <v>54</v>
      </c>
      <c r="DS15" s="7" t="n">
        <v>46</v>
      </c>
      <c r="DT15" s="7" t="n">
        <v>46</v>
      </c>
      <c r="DU15" s="7" t="n">
        <v>48</v>
      </c>
      <c r="DV15" s="7" t="n">
        <v>46</v>
      </c>
      <c r="DW15" s="7" t="n">
        <v>55</v>
      </c>
      <c r="DX15" s="7" t="n">
        <v>53</v>
      </c>
      <c r="DY15" s="7" t="n">
        <v>54</v>
      </c>
      <c r="DZ15" s="7" t="n">
        <v>47</v>
      </c>
      <c r="EA15" s="7" t="n">
        <v>54</v>
      </c>
      <c r="EB15" s="7" t="n">
        <v>52</v>
      </c>
      <c r="EC15" s="7" t="n">
        <v>57</v>
      </c>
      <c r="ED15" s="7" t="n">
        <v>41</v>
      </c>
      <c r="EE15" s="7" t="n">
        <v>50</v>
      </c>
      <c r="EF15" s="7" t="n">
        <v>53</v>
      </c>
      <c r="EG15" s="7" t="n">
        <v>49</v>
      </c>
      <c r="EH15" s="7" t="n">
        <v>57</v>
      </c>
      <c r="EI15" s="7" t="n">
        <v>49</v>
      </c>
      <c r="EJ15" s="7" t="n">
        <v>53</v>
      </c>
      <c r="EK15" s="7" t="n">
        <v>51</v>
      </c>
      <c r="EL15" s="7" t="n">
        <v>56</v>
      </c>
      <c r="EM15" s="7" t="n">
        <v>56</v>
      </c>
      <c r="EN15" s="7" t="n">
        <v>57</v>
      </c>
      <c r="EO15" s="7" t="n">
        <v>51</v>
      </c>
      <c r="EP15" s="7" t="n">
        <v>59</v>
      </c>
      <c r="EQ15" s="7" t="n">
        <v>58</v>
      </c>
      <c r="ER15" s="7" t="n">
        <v>51</v>
      </c>
      <c r="ES15" s="7" t="n">
        <v>57</v>
      </c>
      <c r="ET15" s="7" t="n">
        <v>54</v>
      </c>
      <c r="EU15" s="7" t="n">
        <v>54</v>
      </c>
      <c r="EV15" s="7" t="n">
        <v>48</v>
      </c>
      <c r="EW15" s="7" t="n">
        <v>52</v>
      </c>
      <c r="EX15" s="7" t="n">
        <v>53</v>
      </c>
      <c r="EY15" s="7" t="n">
        <v>55</v>
      </c>
      <c r="EZ15" s="7" t="n">
        <v>52</v>
      </c>
      <c r="FA15" s="7" t="n">
        <v>59</v>
      </c>
      <c r="FB15" s="7" t="n">
        <v>55</v>
      </c>
      <c r="FC15" s="7" t="n">
        <v>58</v>
      </c>
      <c r="FD15" s="7" t="n">
        <v>58</v>
      </c>
      <c r="FE15" s="7" t="n">
        <v>53</v>
      </c>
      <c r="FF15" s="7" t="n">
        <v>57</v>
      </c>
      <c r="FG15" s="7" t="n">
        <v>57</v>
      </c>
      <c r="FH15" s="7" t="n">
        <v>55</v>
      </c>
      <c r="FI15" s="7" t="n">
        <v>57</v>
      </c>
      <c r="FJ15" s="7" t="n">
        <v>55</v>
      </c>
      <c r="FK15" s="7" t="n">
        <v>59</v>
      </c>
      <c r="FL15" s="7" t="n">
        <v>60</v>
      </c>
      <c r="FM15" s="7" t="n">
        <v>57</v>
      </c>
      <c r="FN15" s="7" t="n">
        <v>54</v>
      </c>
      <c r="FO15" s="7" t="n">
        <v>55</v>
      </c>
      <c r="FP15" s="7" t="n">
        <v>54</v>
      </c>
      <c r="FQ15" s="7" t="n">
        <v>52</v>
      </c>
      <c r="FR15" s="7" t="n">
        <v>56</v>
      </c>
      <c r="FS15" s="7" t="n">
        <v>56</v>
      </c>
      <c r="FT15" s="7" t="n">
        <v>49</v>
      </c>
      <c r="FU15" s="7" t="n">
        <v>54</v>
      </c>
      <c r="FV15" s="7" t="n">
        <v>57</v>
      </c>
      <c r="FW15" s="7" t="n">
        <v>58</v>
      </c>
      <c r="FX15" s="7" t="n">
        <v>53</v>
      </c>
      <c r="FY15" s="7" t="n">
        <v>55</v>
      </c>
      <c r="FZ15" s="7" t="n">
        <v>53</v>
      </c>
      <c r="GA15" s="7" t="n">
        <v>51</v>
      </c>
      <c r="GB15" s="7" t="n">
        <v>55</v>
      </c>
      <c r="GC15" s="7" t="n">
        <v>51</v>
      </c>
      <c r="GD15" s="7" t="n">
        <v>60</v>
      </c>
      <c r="GE15" s="7" t="n">
        <v>50</v>
      </c>
      <c r="GF15" s="7" t="n">
        <v>55</v>
      </c>
      <c r="GG15" s="7" t="n">
        <v>54</v>
      </c>
      <c r="GH15" s="7" t="n">
        <v>54</v>
      </c>
      <c r="GI15" s="7" t="n">
        <v>52</v>
      </c>
      <c r="GJ15" s="7" t="n">
        <v>55</v>
      </c>
      <c r="GK15" s="7" t="n">
        <v>54</v>
      </c>
      <c r="GL15" s="7" t="n">
        <v>55</v>
      </c>
      <c r="GM15" s="7" t="n">
        <v>49</v>
      </c>
      <c r="GN15" s="7" t="n">
        <v>56</v>
      </c>
      <c r="GO15" s="7" t="n">
        <v>50</v>
      </c>
      <c r="GP15" s="7" t="n">
        <v>54</v>
      </c>
      <c r="GQ15" s="7" t="n">
        <v>53</v>
      </c>
      <c r="GR15" s="7" t="n">
        <v>47</v>
      </c>
      <c r="GS15" s="7" t="n">
        <v>53</v>
      </c>
      <c r="GT15" s="7" t="n">
        <v>56</v>
      </c>
      <c r="GU15" s="7" t="n">
        <v>54</v>
      </c>
      <c r="GV15" s="7" t="n">
        <v>58</v>
      </c>
      <c r="GW15" s="7" t="n">
        <v>49</v>
      </c>
      <c r="GX15" s="7" t="n">
        <v>57</v>
      </c>
      <c r="GY15" s="7" t="n">
        <v>59</v>
      </c>
      <c r="GZ15" s="7" t="n">
        <v>57</v>
      </c>
      <c r="HA15" s="7" t="n">
        <v>55</v>
      </c>
      <c r="HB15" s="7" t="n">
        <v>55</v>
      </c>
      <c r="HC15" s="7" t="n">
        <v>56</v>
      </c>
      <c r="HD15" s="7" t="n">
        <v>55</v>
      </c>
      <c r="HE15" s="7" t="n">
        <v>53</v>
      </c>
      <c r="HF15" s="7" t="n">
        <v>50</v>
      </c>
      <c r="HG15" s="7" t="n">
        <v>56</v>
      </c>
      <c r="HH15" s="7" t="n">
        <v>59</v>
      </c>
      <c r="HI15" s="7" t="n">
        <v>57</v>
      </c>
      <c r="HJ15" s="7" t="n">
        <v>46</v>
      </c>
      <c r="HK15" s="7" t="n">
        <v>54</v>
      </c>
      <c r="HL15" s="7" t="n">
        <v>51</v>
      </c>
      <c r="HM15" s="7" t="n">
        <v>55</v>
      </c>
      <c r="HN15" s="7" t="n">
        <v>54</v>
      </c>
      <c r="HO15" s="7" t="n">
        <v>54</v>
      </c>
      <c r="HP15" s="7" t="n">
        <v>56</v>
      </c>
      <c r="HQ15" s="7" t="n">
        <v>54</v>
      </c>
      <c r="HR15" s="7" t="n">
        <v>52</v>
      </c>
      <c r="HS15" s="7" t="n">
        <v>50</v>
      </c>
      <c r="HT15" s="7" t="n">
        <v>55</v>
      </c>
      <c r="HU15" s="7" t="n">
        <v>45</v>
      </c>
      <c r="HV15" s="7" t="n">
        <v>45</v>
      </c>
      <c r="HW15" s="7" t="n">
        <v>43</v>
      </c>
      <c r="HX15" s="7" t="n">
        <v>42</v>
      </c>
      <c r="HY15" s="7" t="n">
        <v>33</v>
      </c>
      <c r="HZ15" s="7" t="n">
        <v>26</v>
      </c>
      <c r="IA15" s="7" t="n">
        <v>17</v>
      </c>
      <c r="IB15" s="7" t="n">
        <v>11</v>
      </c>
      <c r="IC15" s="7" t="n">
        <v>19</v>
      </c>
      <c r="ID15" s="7" t="n">
        <v>18</v>
      </c>
      <c r="IE15" s="16" t="n">
        <v>21</v>
      </c>
      <c r="IF15" s="7" t="n">
        <v>27</v>
      </c>
      <c r="IG15" s="7" t="n">
        <v>20</v>
      </c>
      <c r="IH15" s="7" t="n">
        <v>18</v>
      </c>
      <c r="II15" s="7" t="n">
        <v>18</v>
      </c>
      <c r="IJ15" s="7" t="n">
        <v>29</v>
      </c>
      <c r="IK15" s="7" t="n">
        <v>31</v>
      </c>
      <c r="IL15" s="7" t="n">
        <v>31</v>
      </c>
      <c r="IM15" s="7" t="n">
        <v>41</v>
      </c>
      <c r="IN15" s="7" t="n">
        <v>41</v>
      </c>
      <c r="IO15" s="7" t="n">
        <v>45</v>
      </c>
      <c r="IP15" s="7" t="n">
        <v>44</v>
      </c>
      <c r="IQ15" s="7"/>
      <c r="IR15" s="7"/>
      <c r="IS15" s="7"/>
      <c r="IT15" s="7"/>
      <c r="IU15" s="7"/>
      <c r="IV15" s="7"/>
      <c r="IW15" s="7"/>
      <c r="IX15" s="7"/>
      <c r="IY15" s="7"/>
      <c r="IZ15" s="7"/>
    </row>
    <row r="16" customFormat="false" ht="22.5" hidden="false" customHeight="true" outlineLevel="0" collapsed="false">
      <c r="A16" s="15" t="s">
        <v>294</v>
      </c>
      <c r="B16" s="7" t="n">
        <v>44</v>
      </c>
      <c r="C16" s="7" t="n">
        <v>55</v>
      </c>
      <c r="D16" s="7" t="n">
        <v>57</v>
      </c>
      <c r="E16" s="7" t="n">
        <v>55</v>
      </c>
      <c r="F16" s="7" t="n">
        <v>55</v>
      </c>
      <c r="G16" s="7" t="n">
        <v>49</v>
      </c>
      <c r="H16" s="7" t="n">
        <v>46</v>
      </c>
      <c r="I16" s="7" t="n">
        <v>49</v>
      </c>
      <c r="J16" s="7" t="n">
        <v>51</v>
      </c>
      <c r="K16" s="7" t="n">
        <v>42</v>
      </c>
      <c r="L16" s="7" t="n">
        <v>46</v>
      </c>
      <c r="M16" s="7" t="n">
        <v>52</v>
      </c>
      <c r="N16" s="7" t="n">
        <v>43</v>
      </c>
      <c r="O16" s="7" t="n">
        <v>43</v>
      </c>
      <c r="P16" s="7" t="n">
        <v>42</v>
      </c>
      <c r="Q16" s="7" t="n">
        <v>45</v>
      </c>
      <c r="R16" s="7" t="n">
        <v>58</v>
      </c>
      <c r="S16" s="7" t="n">
        <v>45</v>
      </c>
      <c r="T16" s="7" t="n">
        <v>47</v>
      </c>
      <c r="U16" s="7" t="n">
        <v>43</v>
      </c>
      <c r="V16" s="7" t="n">
        <v>42</v>
      </c>
      <c r="W16" s="7" t="n">
        <v>51</v>
      </c>
      <c r="X16" s="7" t="n">
        <v>42</v>
      </c>
      <c r="Y16" s="7" t="n">
        <v>47</v>
      </c>
      <c r="Z16" s="7" t="n">
        <v>44</v>
      </c>
      <c r="AA16" s="7" t="n">
        <v>43</v>
      </c>
      <c r="AB16" s="7" t="n">
        <v>46</v>
      </c>
      <c r="AC16" s="7" t="n">
        <v>44</v>
      </c>
      <c r="AD16" s="7" t="n">
        <v>41</v>
      </c>
      <c r="AE16" s="7" t="n">
        <v>32</v>
      </c>
      <c r="AF16" s="7" t="n">
        <v>49</v>
      </c>
      <c r="AG16" s="7" t="n">
        <v>45</v>
      </c>
      <c r="AH16" s="7" t="n">
        <v>41</v>
      </c>
      <c r="AI16" s="7" t="n">
        <v>41</v>
      </c>
      <c r="AJ16" s="7" t="n">
        <v>42</v>
      </c>
      <c r="AK16" s="7" t="n">
        <v>48</v>
      </c>
      <c r="AL16" s="7" t="n">
        <v>43</v>
      </c>
      <c r="AM16" s="7" t="n">
        <v>51</v>
      </c>
      <c r="AN16" s="7" t="n">
        <v>40</v>
      </c>
      <c r="AO16" s="7" t="n">
        <v>43</v>
      </c>
      <c r="AP16" s="7" t="n">
        <v>41</v>
      </c>
      <c r="AQ16" s="7" t="n">
        <v>47</v>
      </c>
      <c r="AR16" s="7" t="n">
        <v>44</v>
      </c>
      <c r="AS16" s="7" t="n">
        <v>42</v>
      </c>
      <c r="AT16" s="7" t="n">
        <v>42</v>
      </c>
      <c r="AU16" s="7" t="n">
        <v>42</v>
      </c>
      <c r="AV16" s="7" t="n">
        <v>36</v>
      </c>
      <c r="AW16" s="7" t="n">
        <v>39</v>
      </c>
      <c r="AX16" s="7" t="n">
        <v>40</v>
      </c>
      <c r="AY16" s="7" t="n">
        <v>41</v>
      </c>
      <c r="AZ16" s="7" t="n">
        <v>39</v>
      </c>
      <c r="BA16" s="7" t="n">
        <v>35</v>
      </c>
      <c r="BB16" s="7" t="n">
        <v>43</v>
      </c>
      <c r="BC16" s="7" t="n">
        <v>40</v>
      </c>
      <c r="BD16" s="7" t="n">
        <v>43</v>
      </c>
      <c r="BE16" s="7" t="n">
        <v>48</v>
      </c>
      <c r="BF16" s="7" t="n">
        <v>48</v>
      </c>
      <c r="BG16" s="7" t="n">
        <v>46</v>
      </c>
      <c r="BH16" s="7" t="n">
        <v>44</v>
      </c>
      <c r="BI16" s="7" t="n">
        <v>36</v>
      </c>
      <c r="BJ16" s="7" t="n">
        <v>42</v>
      </c>
      <c r="BK16" s="7" t="n">
        <v>47</v>
      </c>
      <c r="BL16" s="7" t="n">
        <v>47</v>
      </c>
      <c r="BM16" s="7" t="n">
        <v>46</v>
      </c>
      <c r="BN16" s="7" t="n">
        <v>52</v>
      </c>
      <c r="BO16" s="7" t="n">
        <v>43</v>
      </c>
      <c r="BP16" s="7" t="n">
        <v>42</v>
      </c>
      <c r="BQ16" s="7" t="n">
        <v>42</v>
      </c>
      <c r="BR16" s="7" t="n">
        <v>38</v>
      </c>
      <c r="BS16" s="7" t="n">
        <v>40</v>
      </c>
      <c r="BT16" s="7" t="n">
        <v>45</v>
      </c>
      <c r="BU16" s="7" t="n">
        <v>33</v>
      </c>
      <c r="BV16" s="7" t="n">
        <v>33</v>
      </c>
      <c r="BW16" s="7" t="n">
        <v>42</v>
      </c>
      <c r="BX16" s="7" t="n">
        <v>39</v>
      </c>
      <c r="BY16" s="7" t="n">
        <v>38</v>
      </c>
      <c r="BZ16" s="7" t="n">
        <v>40</v>
      </c>
      <c r="CA16" s="7" t="n">
        <v>43</v>
      </c>
      <c r="CB16" s="7" t="n">
        <v>38</v>
      </c>
      <c r="CC16" s="7" t="n">
        <v>35</v>
      </c>
      <c r="CD16" s="7" t="n">
        <v>43</v>
      </c>
      <c r="CE16" s="7" t="n">
        <v>36</v>
      </c>
      <c r="CF16" s="7" t="n">
        <v>43</v>
      </c>
      <c r="CG16" s="7" t="n">
        <v>41</v>
      </c>
      <c r="CH16" s="7" t="n">
        <v>35</v>
      </c>
      <c r="CI16" s="7" t="n">
        <v>29</v>
      </c>
      <c r="CJ16" s="7" t="n">
        <v>49</v>
      </c>
      <c r="CK16" s="7" t="n">
        <v>41</v>
      </c>
      <c r="CL16" s="7" t="n">
        <v>41</v>
      </c>
      <c r="CM16" s="7" t="n">
        <v>36</v>
      </c>
      <c r="CN16" s="7" t="n">
        <v>40</v>
      </c>
      <c r="CO16" s="7" t="n">
        <v>35</v>
      </c>
      <c r="CP16" s="7" t="n">
        <v>45</v>
      </c>
      <c r="CQ16" s="7" t="n">
        <v>35</v>
      </c>
      <c r="CR16" s="7" t="n">
        <v>40</v>
      </c>
      <c r="CS16" s="7" t="n">
        <v>36</v>
      </c>
      <c r="CT16" s="7" t="n">
        <v>42</v>
      </c>
      <c r="CU16" s="7" t="n">
        <v>40</v>
      </c>
      <c r="CV16" s="7" t="n">
        <v>36</v>
      </c>
      <c r="CW16" s="7" t="n">
        <v>33</v>
      </c>
      <c r="CX16" s="7" t="n">
        <v>35</v>
      </c>
      <c r="CY16" s="7" t="n">
        <v>34</v>
      </c>
      <c r="CZ16" s="7" t="n">
        <v>37</v>
      </c>
      <c r="DA16" s="7" t="n">
        <v>42</v>
      </c>
      <c r="DB16" s="7" t="n">
        <v>42</v>
      </c>
      <c r="DC16" s="7" t="n">
        <v>43</v>
      </c>
      <c r="DD16" s="7" t="n">
        <v>45</v>
      </c>
      <c r="DE16" s="7" t="n">
        <v>44</v>
      </c>
      <c r="DF16" s="7" t="n">
        <v>40</v>
      </c>
      <c r="DG16" s="7" t="n">
        <v>40</v>
      </c>
      <c r="DH16" s="7" t="n">
        <v>43</v>
      </c>
      <c r="DI16" s="7" t="n">
        <v>38</v>
      </c>
      <c r="DJ16" s="7" t="n">
        <v>35</v>
      </c>
      <c r="DK16" s="7" t="n">
        <v>43</v>
      </c>
      <c r="DL16" s="7" t="n">
        <v>36</v>
      </c>
      <c r="DM16" s="7" t="n">
        <v>43</v>
      </c>
      <c r="DN16" s="7" t="n">
        <v>41</v>
      </c>
      <c r="DO16" s="7" t="n">
        <v>35</v>
      </c>
      <c r="DP16" s="7" t="n">
        <v>49</v>
      </c>
      <c r="DQ16" s="7" t="n">
        <v>40</v>
      </c>
      <c r="DR16" s="7" t="n">
        <v>43</v>
      </c>
      <c r="DS16" s="7" t="n">
        <v>38</v>
      </c>
      <c r="DT16" s="7" t="n">
        <v>35</v>
      </c>
      <c r="DU16" s="7" t="n">
        <v>43</v>
      </c>
      <c r="DV16" s="7" t="n">
        <v>36</v>
      </c>
      <c r="DW16" s="7" t="n">
        <v>43</v>
      </c>
      <c r="DX16" s="7" t="n">
        <v>41</v>
      </c>
      <c r="DY16" s="7" t="n">
        <v>35</v>
      </c>
      <c r="DZ16" s="7" t="n">
        <v>49</v>
      </c>
      <c r="EA16" s="7" t="n">
        <v>50</v>
      </c>
      <c r="EB16" s="7" t="n">
        <v>51</v>
      </c>
      <c r="EC16" s="7" t="n">
        <v>45</v>
      </c>
      <c r="ED16" s="7" t="n">
        <v>44</v>
      </c>
      <c r="EE16" s="7" t="n">
        <v>42</v>
      </c>
      <c r="EF16" s="7" t="n">
        <v>44</v>
      </c>
      <c r="EG16" s="7" t="s">
        <v>295</v>
      </c>
      <c r="EH16" s="7" t="s">
        <v>295</v>
      </c>
      <c r="EI16" s="7" t="s">
        <v>295</v>
      </c>
      <c r="EJ16" s="7" t="s">
        <v>295</v>
      </c>
      <c r="EK16" s="7" t="s">
        <v>295</v>
      </c>
      <c r="EL16" s="7" t="s">
        <v>295</v>
      </c>
      <c r="EM16" s="7" t="s">
        <v>295</v>
      </c>
      <c r="EN16" s="7" t="s">
        <v>295</v>
      </c>
      <c r="EO16" s="7"/>
      <c r="EP16" s="7"/>
      <c r="EQ16" s="7"/>
      <c r="ER16" s="7" t="s">
        <v>295</v>
      </c>
      <c r="ES16" s="7" t="s">
        <v>295</v>
      </c>
      <c r="ET16" s="7" t="s">
        <v>295</v>
      </c>
      <c r="EU16" s="7" t="s">
        <v>295</v>
      </c>
      <c r="EV16" s="7"/>
      <c r="EW16" s="7" t="s">
        <v>295</v>
      </c>
      <c r="EX16" s="7"/>
      <c r="EY16" s="7" t="s">
        <v>295</v>
      </c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 t="n">
        <v>0</v>
      </c>
      <c r="GS16" s="7" t="n">
        <v>0</v>
      </c>
      <c r="GT16" s="7" t="n">
        <v>0</v>
      </c>
      <c r="GU16" s="7" t="n">
        <v>0</v>
      </c>
      <c r="GV16" s="7" t="n">
        <v>0</v>
      </c>
      <c r="GW16" s="7" t="n">
        <v>0</v>
      </c>
      <c r="GX16" s="7" t="n">
        <v>0</v>
      </c>
      <c r="GY16" s="7" t="n">
        <v>0</v>
      </c>
      <c r="GZ16" s="7" t="n">
        <v>0</v>
      </c>
      <c r="HA16" s="7" t="n">
        <v>0</v>
      </c>
      <c r="HB16" s="7" t="n">
        <v>0</v>
      </c>
      <c r="HC16" s="7" t="n">
        <v>0</v>
      </c>
      <c r="HD16" s="7" t="n">
        <v>0</v>
      </c>
      <c r="HE16" s="7" t="n">
        <v>0</v>
      </c>
      <c r="HF16" s="7" t="n">
        <v>0</v>
      </c>
      <c r="HG16" s="7" t="n">
        <v>0</v>
      </c>
      <c r="HH16" s="7" t="n">
        <v>0</v>
      </c>
      <c r="HI16" s="7" t="n">
        <v>0</v>
      </c>
      <c r="HJ16" s="7" t="n">
        <v>0</v>
      </c>
      <c r="HK16" s="7" t="n">
        <v>0</v>
      </c>
      <c r="HL16" s="7" t="n">
        <v>0</v>
      </c>
      <c r="HM16" s="7" t="n">
        <v>0</v>
      </c>
      <c r="HN16" s="7" t="n">
        <v>0</v>
      </c>
      <c r="HO16" s="7" t="n">
        <v>0</v>
      </c>
      <c r="HP16" s="7" t="n">
        <v>0</v>
      </c>
      <c r="HQ16" s="7" t="n">
        <v>0</v>
      </c>
      <c r="HR16" s="7" t="n">
        <v>0</v>
      </c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</row>
    <row r="17" customFormat="false" ht="22.5" hidden="false" customHeight="true" outlineLevel="0" collapsed="false">
      <c r="A17" s="15" t="s">
        <v>296</v>
      </c>
      <c r="B17" s="7" t="n">
        <v>42</v>
      </c>
      <c r="C17" s="7" t="n">
        <v>59</v>
      </c>
      <c r="D17" s="7" t="n">
        <v>58</v>
      </c>
      <c r="E17" s="7" t="n">
        <v>45</v>
      </c>
      <c r="F17" s="7" t="n">
        <v>56</v>
      </c>
      <c r="G17" s="7" t="n">
        <v>46</v>
      </c>
      <c r="H17" s="7" t="n">
        <v>42</v>
      </c>
      <c r="I17" s="7" t="n">
        <v>54</v>
      </c>
      <c r="J17" s="7" t="n">
        <v>46</v>
      </c>
      <c r="K17" s="7" t="n">
        <v>46</v>
      </c>
      <c r="L17" s="7" t="n">
        <v>46</v>
      </c>
      <c r="M17" s="7" t="n">
        <v>53</v>
      </c>
      <c r="N17" s="7" t="n">
        <v>46</v>
      </c>
      <c r="O17" s="7" t="n">
        <v>51</v>
      </c>
      <c r="P17" s="7" t="n">
        <v>47</v>
      </c>
      <c r="Q17" s="7" t="n">
        <v>46</v>
      </c>
      <c r="R17" s="7" t="n">
        <v>48</v>
      </c>
      <c r="S17" s="7" t="n">
        <v>51</v>
      </c>
      <c r="T17" s="7" t="n">
        <v>49</v>
      </c>
      <c r="U17" s="7" t="n">
        <v>34</v>
      </c>
      <c r="V17" s="7" t="n">
        <v>53</v>
      </c>
      <c r="W17" s="7" t="n">
        <v>49</v>
      </c>
      <c r="X17" s="7" t="n">
        <v>51</v>
      </c>
      <c r="Y17" s="7" t="n">
        <v>50</v>
      </c>
      <c r="Z17" s="7" t="n">
        <v>43</v>
      </c>
      <c r="AA17" s="7" t="n">
        <v>51</v>
      </c>
      <c r="AB17" s="7" t="n">
        <v>53</v>
      </c>
      <c r="AC17" s="7" t="n">
        <v>40</v>
      </c>
      <c r="AD17" s="7" t="n">
        <v>43</v>
      </c>
      <c r="AE17" s="7" t="n">
        <v>46</v>
      </c>
      <c r="AF17" s="7" t="n">
        <v>48</v>
      </c>
      <c r="AG17" s="7" t="n">
        <v>47</v>
      </c>
      <c r="AH17" s="7" t="n">
        <v>48</v>
      </c>
      <c r="AI17" s="7" t="n">
        <v>45</v>
      </c>
      <c r="AJ17" s="7" t="n">
        <v>42</v>
      </c>
      <c r="AK17" s="7" t="n">
        <v>46</v>
      </c>
      <c r="AL17" s="7" t="n">
        <v>48</v>
      </c>
      <c r="AM17" s="7" t="n">
        <v>48</v>
      </c>
      <c r="AN17" s="7" t="n">
        <v>44</v>
      </c>
      <c r="AO17" s="7" t="n">
        <v>46</v>
      </c>
      <c r="AP17" s="7" t="n">
        <v>50</v>
      </c>
      <c r="AQ17" s="7" t="n">
        <v>49</v>
      </c>
      <c r="AR17" s="7" t="n">
        <v>49</v>
      </c>
      <c r="AS17" s="7" t="n">
        <v>45</v>
      </c>
      <c r="AT17" s="7" t="n">
        <v>48</v>
      </c>
      <c r="AU17" s="7" t="n">
        <v>47</v>
      </c>
      <c r="AV17" s="7" t="n">
        <v>48</v>
      </c>
      <c r="AW17" s="7" t="n">
        <v>50</v>
      </c>
      <c r="AX17" s="7" t="n">
        <v>50</v>
      </c>
      <c r="AY17" s="7" t="n">
        <v>43</v>
      </c>
      <c r="AZ17" s="7" t="n">
        <v>48</v>
      </c>
      <c r="BA17" s="7" t="n">
        <v>43</v>
      </c>
      <c r="BB17" s="7" t="n">
        <v>44</v>
      </c>
      <c r="BC17" s="7" t="n">
        <v>42</v>
      </c>
      <c r="BD17" s="7" t="n">
        <v>50</v>
      </c>
      <c r="BE17" s="7" t="n">
        <v>52</v>
      </c>
      <c r="BF17" s="7" t="n">
        <v>52</v>
      </c>
      <c r="BG17" s="7" t="n">
        <v>56</v>
      </c>
      <c r="BH17" s="7" t="n">
        <v>49</v>
      </c>
      <c r="BI17" s="7" t="n">
        <v>50</v>
      </c>
      <c r="BJ17" s="7" t="n">
        <v>43</v>
      </c>
      <c r="BK17" s="7" t="n">
        <v>43</v>
      </c>
      <c r="BL17" s="7" t="n">
        <v>46</v>
      </c>
      <c r="BM17" s="7" t="n">
        <v>48</v>
      </c>
      <c r="BN17" s="7" t="n">
        <v>46</v>
      </c>
      <c r="BO17" s="7" t="n">
        <v>46</v>
      </c>
      <c r="BP17" s="7" t="n">
        <v>50</v>
      </c>
      <c r="BQ17" s="7" t="n">
        <v>53</v>
      </c>
      <c r="BR17" s="7" t="n">
        <v>48</v>
      </c>
      <c r="BS17" s="7" t="n">
        <v>43</v>
      </c>
      <c r="BT17" s="7" t="n">
        <v>45</v>
      </c>
      <c r="BU17" s="7" t="n">
        <v>48</v>
      </c>
      <c r="BV17" s="7" t="n">
        <v>37</v>
      </c>
      <c r="BW17" s="7" t="n">
        <v>42</v>
      </c>
      <c r="BX17" s="7" t="n">
        <v>43</v>
      </c>
      <c r="BY17" s="7" t="n">
        <v>47</v>
      </c>
      <c r="BZ17" s="7" t="n">
        <v>47</v>
      </c>
      <c r="CA17" s="7" t="n">
        <v>45</v>
      </c>
      <c r="CB17" s="7" t="n">
        <v>46</v>
      </c>
      <c r="CC17" s="7" t="n">
        <v>49</v>
      </c>
      <c r="CD17" s="7" t="n">
        <v>47</v>
      </c>
      <c r="CE17" s="7" t="n">
        <v>43</v>
      </c>
      <c r="CF17" s="7" t="n">
        <v>49</v>
      </c>
      <c r="CG17" s="7" t="n">
        <v>50</v>
      </c>
      <c r="CH17" s="7" t="n">
        <v>45</v>
      </c>
      <c r="CI17" s="7" t="n">
        <v>46</v>
      </c>
      <c r="CJ17" s="7" t="n">
        <v>48</v>
      </c>
      <c r="CK17" s="7" t="n">
        <v>43</v>
      </c>
      <c r="CL17" s="7" t="n">
        <v>45</v>
      </c>
      <c r="CM17" s="7" t="n">
        <v>39</v>
      </c>
      <c r="CN17" s="7" t="n">
        <v>49</v>
      </c>
      <c r="CO17" s="7" t="n">
        <v>50</v>
      </c>
      <c r="CP17" s="7" t="n">
        <v>42</v>
      </c>
      <c r="CQ17" s="7" t="n">
        <v>46</v>
      </c>
      <c r="CR17" s="7" t="n">
        <v>47</v>
      </c>
      <c r="CS17" s="7" t="n">
        <v>49</v>
      </c>
      <c r="CT17" s="7" t="n">
        <v>43</v>
      </c>
      <c r="CU17" s="7" t="n">
        <v>52</v>
      </c>
      <c r="CV17" s="7" t="n">
        <v>50</v>
      </c>
      <c r="CW17" s="7" t="n">
        <v>41</v>
      </c>
      <c r="CX17" s="7" t="n">
        <v>45</v>
      </c>
      <c r="CY17" s="7" t="n">
        <v>40</v>
      </c>
      <c r="CZ17" s="7" t="n">
        <v>43</v>
      </c>
      <c r="DA17" s="7" t="n">
        <v>42</v>
      </c>
      <c r="DB17" s="7" t="n">
        <v>50</v>
      </c>
      <c r="DC17" s="7" t="n">
        <v>45</v>
      </c>
      <c r="DD17" s="7" t="n">
        <v>50</v>
      </c>
      <c r="DE17" s="7" t="n">
        <v>46</v>
      </c>
      <c r="DF17" s="7" t="n">
        <v>47</v>
      </c>
      <c r="DG17" s="7" t="n">
        <v>47</v>
      </c>
      <c r="DH17" s="7" t="n">
        <v>45</v>
      </c>
      <c r="DI17" s="7" t="n">
        <v>46</v>
      </c>
      <c r="DJ17" s="7" t="n">
        <v>49</v>
      </c>
      <c r="DK17" s="7" t="n">
        <v>47</v>
      </c>
      <c r="DL17" s="7" t="n">
        <v>43</v>
      </c>
      <c r="DM17" s="7" t="n">
        <v>49</v>
      </c>
      <c r="DN17" s="7" t="n">
        <v>50</v>
      </c>
      <c r="DO17" s="7" t="n">
        <v>45</v>
      </c>
      <c r="DP17" s="7" t="n">
        <v>48</v>
      </c>
      <c r="DQ17" s="7" t="n">
        <v>47</v>
      </c>
      <c r="DR17" s="7" t="n">
        <v>45</v>
      </c>
      <c r="DS17" s="7" t="n">
        <v>46</v>
      </c>
      <c r="DT17" s="7" t="n">
        <v>49</v>
      </c>
      <c r="DU17" s="7" t="n">
        <v>47</v>
      </c>
      <c r="DV17" s="7" t="n">
        <v>43</v>
      </c>
      <c r="DW17" s="7" t="n">
        <v>49</v>
      </c>
      <c r="DX17" s="7" t="n">
        <v>50</v>
      </c>
      <c r="DY17" s="7" t="n">
        <v>45</v>
      </c>
      <c r="DZ17" s="7" t="n">
        <v>48</v>
      </c>
      <c r="EA17" s="7" t="n">
        <v>44</v>
      </c>
      <c r="EB17" s="7" t="n">
        <v>47</v>
      </c>
      <c r="EC17" s="7" t="n">
        <v>49</v>
      </c>
      <c r="ED17" s="7" t="n">
        <v>47</v>
      </c>
      <c r="EE17" s="7" t="n">
        <v>43</v>
      </c>
      <c r="EF17" s="7" t="n">
        <v>47</v>
      </c>
      <c r="EG17" s="7" t="n">
        <v>55</v>
      </c>
      <c r="EH17" s="7" t="n">
        <v>54</v>
      </c>
      <c r="EI17" s="7" t="n">
        <v>55</v>
      </c>
      <c r="EJ17" s="7" t="n">
        <v>51</v>
      </c>
      <c r="EK17" s="7" t="n">
        <v>49</v>
      </c>
      <c r="EL17" s="7" t="n">
        <v>55</v>
      </c>
      <c r="EM17" s="7" t="n">
        <v>51</v>
      </c>
      <c r="EN17" s="7" t="n">
        <v>55</v>
      </c>
      <c r="EO17" s="7" t="n">
        <v>52</v>
      </c>
      <c r="EP17" s="7" t="n">
        <v>49</v>
      </c>
      <c r="EQ17" s="7" t="n">
        <v>56</v>
      </c>
      <c r="ER17" s="7" t="n">
        <v>57</v>
      </c>
      <c r="ES17" s="7" t="n">
        <v>55</v>
      </c>
      <c r="ET17" s="7" t="n">
        <v>56</v>
      </c>
      <c r="EU17" s="7" t="n">
        <v>52</v>
      </c>
      <c r="EV17" s="7" t="n">
        <v>56</v>
      </c>
      <c r="EW17" s="7" t="n">
        <v>54</v>
      </c>
      <c r="EX17" s="7" t="n">
        <v>54</v>
      </c>
      <c r="EY17" s="7" t="n">
        <v>60</v>
      </c>
      <c r="EZ17" s="7" t="n">
        <v>51</v>
      </c>
      <c r="FA17" s="7" t="n">
        <v>52</v>
      </c>
      <c r="FB17" s="7" t="n">
        <v>54</v>
      </c>
      <c r="FC17" s="7" t="n">
        <v>54</v>
      </c>
      <c r="FD17" s="7" t="n">
        <v>53</v>
      </c>
      <c r="FE17" s="7" t="n">
        <v>46</v>
      </c>
      <c r="FF17" s="7" t="n">
        <v>50</v>
      </c>
      <c r="FG17" s="7" t="n">
        <v>47</v>
      </c>
      <c r="FH17" s="7" t="n">
        <v>52</v>
      </c>
      <c r="FI17" s="7" t="n">
        <v>50</v>
      </c>
      <c r="FJ17" s="7" t="n">
        <v>54</v>
      </c>
      <c r="FK17" s="7" t="n">
        <v>50</v>
      </c>
      <c r="FL17" s="7" t="n">
        <v>55</v>
      </c>
      <c r="FM17" s="7" t="n">
        <v>56</v>
      </c>
      <c r="FN17" s="7" t="n">
        <v>40</v>
      </c>
      <c r="FO17" s="7" t="n">
        <v>54</v>
      </c>
      <c r="FP17" s="7" t="n">
        <v>52</v>
      </c>
      <c r="FQ17" s="7" t="n">
        <v>50</v>
      </c>
      <c r="FR17" s="7" t="n">
        <v>51</v>
      </c>
      <c r="FS17" s="7" t="n">
        <v>60</v>
      </c>
      <c r="FT17" s="7" t="n">
        <v>48</v>
      </c>
      <c r="FU17" s="7" t="n">
        <v>58</v>
      </c>
      <c r="FV17" s="7" t="n">
        <v>45</v>
      </c>
      <c r="FW17" s="7" t="n">
        <v>49</v>
      </c>
      <c r="FX17" s="7" t="n">
        <v>52</v>
      </c>
      <c r="FY17" s="7" t="n">
        <v>55</v>
      </c>
      <c r="FZ17" s="7" t="n">
        <v>51</v>
      </c>
      <c r="GA17" s="7" t="n">
        <v>53</v>
      </c>
      <c r="GB17" s="7" t="n">
        <v>47</v>
      </c>
      <c r="GC17" s="7" t="n">
        <v>53</v>
      </c>
      <c r="GD17" s="7" t="n">
        <v>47</v>
      </c>
      <c r="GE17" s="7" t="n">
        <v>45</v>
      </c>
      <c r="GF17" s="7" t="n">
        <v>49</v>
      </c>
      <c r="GG17" s="7" t="n">
        <v>50</v>
      </c>
      <c r="GH17" s="7" t="n">
        <v>51</v>
      </c>
      <c r="GI17" s="7" t="n">
        <v>58</v>
      </c>
      <c r="GJ17" s="7" t="n">
        <v>51</v>
      </c>
      <c r="GK17" s="7" t="n">
        <v>55</v>
      </c>
      <c r="GL17" s="7" t="n">
        <v>51</v>
      </c>
      <c r="GM17" s="7" t="n">
        <v>45</v>
      </c>
      <c r="GN17" s="7" t="n">
        <v>50</v>
      </c>
      <c r="GO17" s="7" t="n">
        <v>58</v>
      </c>
      <c r="GP17" s="7" t="n">
        <v>52</v>
      </c>
      <c r="GQ17" s="7" t="n">
        <v>53</v>
      </c>
      <c r="GR17" s="7" t="n">
        <v>54</v>
      </c>
      <c r="GS17" s="7" t="n">
        <v>52</v>
      </c>
      <c r="GT17" s="7" t="n">
        <v>53</v>
      </c>
      <c r="GU17" s="7" t="n">
        <v>50</v>
      </c>
      <c r="GV17" s="7" t="n">
        <v>57</v>
      </c>
      <c r="GW17" s="7" t="n">
        <v>58</v>
      </c>
      <c r="GX17" s="7" t="n">
        <v>52</v>
      </c>
      <c r="GY17" s="7" t="n">
        <v>55</v>
      </c>
      <c r="GZ17" s="7" t="n">
        <v>50</v>
      </c>
      <c r="HA17" s="7" t="n">
        <v>55</v>
      </c>
      <c r="HB17" s="7" t="n">
        <v>51</v>
      </c>
      <c r="HC17" s="7" t="n">
        <v>53</v>
      </c>
      <c r="HD17" s="7" t="n">
        <v>51</v>
      </c>
      <c r="HE17" s="7" t="n">
        <v>53</v>
      </c>
      <c r="HF17" s="7" t="n">
        <v>50</v>
      </c>
      <c r="HG17" s="7" t="n">
        <v>55</v>
      </c>
      <c r="HH17" s="7" t="n">
        <v>55</v>
      </c>
      <c r="HI17" s="7" t="n">
        <v>57</v>
      </c>
      <c r="HJ17" s="7" t="n">
        <v>56</v>
      </c>
      <c r="HK17" s="7" t="n">
        <v>59</v>
      </c>
      <c r="HL17" s="7" t="n">
        <v>57</v>
      </c>
      <c r="HM17" s="7" t="n">
        <v>49</v>
      </c>
      <c r="HN17" s="7" t="n">
        <v>57</v>
      </c>
      <c r="HO17" s="7" t="n">
        <v>53</v>
      </c>
      <c r="HP17" s="7" t="n">
        <v>53</v>
      </c>
      <c r="HQ17" s="7" t="n">
        <v>54</v>
      </c>
      <c r="HR17" s="7" t="n">
        <v>53</v>
      </c>
      <c r="HS17" s="7" t="n">
        <v>53</v>
      </c>
      <c r="HT17" s="7" t="n">
        <v>53</v>
      </c>
      <c r="HU17" s="7" t="n">
        <v>52</v>
      </c>
      <c r="HV17" s="7" t="n">
        <v>46</v>
      </c>
      <c r="HW17" s="7" t="n">
        <v>41</v>
      </c>
      <c r="HX17" s="7" t="n">
        <v>29</v>
      </c>
      <c r="HY17" s="7" t="n">
        <v>24</v>
      </c>
      <c r="HZ17" s="7" t="n">
        <v>18</v>
      </c>
      <c r="IA17" s="7" t="n">
        <v>16</v>
      </c>
      <c r="IB17" s="7" t="n">
        <v>12</v>
      </c>
      <c r="IC17" s="7" t="n">
        <v>23</v>
      </c>
      <c r="ID17" s="7" t="n">
        <v>28</v>
      </c>
      <c r="IE17" s="16" t="n">
        <v>34</v>
      </c>
      <c r="IF17" s="7" t="n">
        <v>39</v>
      </c>
      <c r="IG17" s="7" t="n">
        <v>28</v>
      </c>
      <c r="IH17" s="7" t="n">
        <v>29</v>
      </c>
      <c r="II17" s="7" t="n">
        <v>16</v>
      </c>
      <c r="IJ17" s="7" t="n">
        <v>45</v>
      </c>
      <c r="IK17" s="7" t="n">
        <v>40</v>
      </c>
      <c r="IL17" s="7" t="n">
        <v>42</v>
      </c>
      <c r="IM17" s="7" t="n">
        <v>48</v>
      </c>
      <c r="IN17" s="7" t="n">
        <v>48</v>
      </c>
      <c r="IO17" s="7" t="n">
        <v>39</v>
      </c>
      <c r="IP17" s="7" t="n">
        <v>46</v>
      </c>
      <c r="IQ17" s="7"/>
      <c r="IR17" s="7"/>
      <c r="IS17" s="7"/>
      <c r="IT17" s="7"/>
      <c r="IU17" s="7"/>
      <c r="IV17" s="7"/>
      <c r="IW17" s="7"/>
      <c r="IX17" s="7"/>
      <c r="IY17" s="7"/>
      <c r="IZ17" s="7"/>
    </row>
    <row r="18" customFormat="false" ht="22.5" hidden="false" customHeight="true" outlineLevel="0" collapsed="false">
      <c r="A18" s="15" t="s">
        <v>297</v>
      </c>
      <c r="B18" s="7" t="n">
        <v>56</v>
      </c>
      <c r="C18" s="7" t="n">
        <v>57</v>
      </c>
      <c r="D18" s="7" t="n">
        <v>48</v>
      </c>
      <c r="E18" s="7" t="n">
        <v>53</v>
      </c>
      <c r="F18" s="7" t="n">
        <v>62</v>
      </c>
      <c r="G18" s="7" t="n">
        <v>60</v>
      </c>
      <c r="H18" s="7" t="n">
        <v>55</v>
      </c>
      <c r="I18" s="7" t="n">
        <v>59</v>
      </c>
      <c r="J18" s="7" t="n">
        <v>63</v>
      </c>
      <c r="K18" s="7" t="n">
        <v>53</v>
      </c>
      <c r="L18" s="7" t="n">
        <v>58</v>
      </c>
      <c r="M18" s="7" t="n">
        <v>53</v>
      </c>
      <c r="N18" s="7" t="n">
        <v>53</v>
      </c>
      <c r="O18" s="7" t="n">
        <v>52</v>
      </c>
      <c r="P18" s="7" t="n">
        <v>54</v>
      </c>
      <c r="Q18" s="7" t="n">
        <v>54</v>
      </c>
      <c r="R18" s="7" t="n">
        <v>59</v>
      </c>
      <c r="S18" s="7" t="n">
        <v>60</v>
      </c>
      <c r="T18" s="7" t="n">
        <v>56</v>
      </c>
      <c r="U18" s="7" t="n">
        <v>52</v>
      </c>
      <c r="V18" s="7" t="n">
        <v>56</v>
      </c>
      <c r="W18" s="7" t="n">
        <v>58</v>
      </c>
      <c r="X18" s="7" t="n">
        <v>58</v>
      </c>
      <c r="Y18" s="7" t="n">
        <v>58</v>
      </c>
      <c r="Z18" s="7" t="n">
        <v>49</v>
      </c>
      <c r="AA18" s="7" t="n">
        <v>54</v>
      </c>
      <c r="AB18" s="7" t="n">
        <v>53</v>
      </c>
      <c r="AC18" s="7" t="n">
        <v>50</v>
      </c>
      <c r="AD18" s="7" t="n">
        <v>55</v>
      </c>
      <c r="AE18" s="7" t="n">
        <v>49</v>
      </c>
      <c r="AF18" s="7" t="n">
        <v>57</v>
      </c>
      <c r="AG18" s="7" t="n">
        <v>55</v>
      </c>
      <c r="AH18" s="7" t="n">
        <v>53</v>
      </c>
      <c r="AI18" s="7" t="n">
        <v>53</v>
      </c>
      <c r="AJ18" s="7" t="n">
        <v>56</v>
      </c>
      <c r="AK18" s="7" t="n">
        <v>56</v>
      </c>
      <c r="AL18" s="7" t="n">
        <v>55</v>
      </c>
      <c r="AM18" s="7" t="n">
        <v>49</v>
      </c>
      <c r="AN18" s="7" t="n">
        <v>56</v>
      </c>
      <c r="AO18" s="7" t="n">
        <v>54</v>
      </c>
      <c r="AP18" s="7" t="n">
        <v>55</v>
      </c>
      <c r="AQ18" s="7" t="n">
        <v>58</v>
      </c>
      <c r="AR18" s="7" t="n">
        <v>52</v>
      </c>
      <c r="AS18" s="7" t="n">
        <v>57</v>
      </c>
      <c r="AT18" s="7" t="n">
        <v>58</v>
      </c>
      <c r="AU18" s="7" t="n">
        <v>53</v>
      </c>
      <c r="AV18" s="7" t="n">
        <v>49</v>
      </c>
      <c r="AW18" s="7" t="n">
        <v>45</v>
      </c>
      <c r="AX18" s="7" t="n">
        <v>46</v>
      </c>
      <c r="AY18" s="7" t="n">
        <v>43</v>
      </c>
      <c r="AZ18" s="7" t="n">
        <v>50</v>
      </c>
      <c r="BA18" s="7" t="n">
        <v>52</v>
      </c>
      <c r="BB18" s="7" t="n">
        <v>48</v>
      </c>
      <c r="BC18" s="7" t="n">
        <v>49</v>
      </c>
      <c r="BD18" s="7" t="n">
        <v>48</v>
      </c>
      <c r="BE18" s="7" t="n">
        <v>55</v>
      </c>
      <c r="BF18" s="7" t="n">
        <v>55</v>
      </c>
      <c r="BG18" s="7" t="n">
        <v>54</v>
      </c>
      <c r="BH18" s="7" t="n">
        <v>54</v>
      </c>
      <c r="BI18" s="7" t="n">
        <v>53</v>
      </c>
      <c r="BJ18" s="7" t="n">
        <v>49</v>
      </c>
      <c r="BK18" s="7" t="n">
        <v>53</v>
      </c>
      <c r="BL18" s="7" t="n">
        <v>49</v>
      </c>
      <c r="BM18" s="7" t="n">
        <v>47</v>
      </c>
      <c r="BN18" s="7" t="n">
        <v>61</v>
      </c>
      <c r="BO18" s="7" t="n">
        <v>59</v>
      </c>
      <c r="BP18" s="7" t="n">
        <v>59</v>
      </c>
      <c r="BQ18" s="7" t="n">
        <v>56</v>
      </c>
      <c r="BR18" s="7" t="n">
        <v>55</v>
      </c>
      <c r="BS18" s="7" t="n">
        <v>52</v>
      </c>
      <c r="BT18" s="7" t="n">
        <v>49</v>
      </c>
      <c r="BU18" s="7" t="n">
        <v>56</v>
      </c>
      <c r="BV18" s="7" t="n">
        <v>41</v>
      </c>
      <c r="BW18" s="7" t="n">
        <v>52</v>
      </c>
      <c r="BX18" s="7" t="n">
        <v>54</v>
      </c>
      <c r="BY18" s="7" t="n">
        <v>51</v>
      </c>
      <c r="BZ18" s="7" t="n">
        <v>48</v>
      </c>
      <c r="CA18" s="7" t="n">
        <v>55</v>
      </c>
      <c r="CB18" s="7" t="n">
        <v>48</v>
      </c>
      <c r="CC18" s="7" t="n">
        <v>56</v>
      </c>
      <c r="CD18" s="7" t="n">
        <v>52</v>
      </c>
      <c r="CE18" s="7" t="n">
        <v>47</v>
      </c>
      <c r="CF18" s="7" t="n">
        <v>56</v>
      </c>
      <c r="CG18" s="7" t="n">
        <v>52</v>
      </c>
      <c r="CH18" s="7" t="n">
        <v>49</v>
      </c>
      <c r="CI18" s="7" t="n">
        <v>53</v>
      </c>
      <c r="CJ18" s="7" t="n">
        <v>60</v>
      </c>
      <c r="CK18" s="7" t="n">
        <v>48</v>
      </c>
      <c r="CL18" s="7" t="n">
        <v>57</v>
      </c>
      <c r="CM18" s="7" t="n">
        <v>48</v>
      </c>
      <c r="CN18" s="7" t="n">
        <v>51</v>
      </c>
      <c r="CO18" s="7" t="n">
        <v>59</v>
      </c>
      <c r="CP18" s="7" t="n">
        <v>48</v>
      </c>
      <c r="CQ18" s="7" t="n">
        <v>51</v>
      </c>
      <c r="CR18" s="7" t="n">
        <v>55</v>
      </c>
      <c r="CS18" s="7" t="n">
        <v>49</v>
      </c>
      <c r="CT18" s="7" t="n">
        <v>42</v>
      </c>
      <c r="CU18" s="7" t="n">
        <v>59</v>
      </c>
      <c r="CV18" s="7" t="n">
        <v>48</v>
      </c>
      <c r="CW18" s="7" t="n">
        <v>50</v>
      </c>
      <c r="CX18" s="7" t="n">
        <v>52</v>
      </c>
      <c r="CY18" s="7" t="n">
        <v>52</v>
      </c>
      <c r="CZ18" s="7" t="n">
        <v>53</v>
      </c>
      <c r="DA18" s="7" t="n">
        <v>56</v>
      </c>
      <c r="DB18" s="7" t="n">
        <v>47</v>
      </c>
      <c r="DC18" s="7" t="n">
        <v>54</v>
      </c>
      <c r="DD18" s="7" t="n">
        <v>60</v>
      </c>
      <c r="DE18" s="7" t="n">
        <v>50</v>
      </c>
      <c r="DF18" s="7" t="n">
        <v>48</v>
      </c>
      <c r="DG18" s="7" t="n">
        <v>48</v>
      </c>
      <c r="DH18" s="7" t="n">
        <v>55</v>
      </c>
      <c r="DI18" s="7" t="n">
        <v>48</v>
      </c>
      <c r="DJ18" s="7" t="n">
        <v>56</v>
      </c>
      <c r="DK18" s="7" t="n">
        <v>52</v>
      </c>
      <c r="DL18" s="7" t="n">
        <v>47</v>
      </c>
      <c r="DM18" s="7" t="n">
        <v>56</v>
      </c>
      <c r="DN18" s="7" t="n">
        <v>52</v>
      </c>
      <c r="DO18" s="7" t="n">
        <v>49</v>
      </c>
      <c r="DP18" s="7" t="n">
        <v>60</v>
      </c>
      <c r="DQ18" s="7" t="n">
        <v>48</v>
      </c>
      <c r="DR18" s="7" t="n">
        <v>55</v>
      </c>
      <c r="DS18" s="7" t="n">
        <v>48</v>
      </c>
      <c r="DT18" s="7" t="n">
        <v>56</v>
      </c>
      <c r="DU18" s="7" t="n">
        <v>52</v>
      </c>
      <c r="DV18" s="7" t="n">
        <v>47</v>
      </c>
      <c r="DW18" s="7" t="n">
        <v>56</v>
      </c>
      <c r="DX18" s="7" t="n">
        <v>52</v>
      </c>
      <c r="DY18" s="7" t="n">
        <v>49</v>
      </c>
      <c r="DZ18" s="7" t="n">
        <v>60</v>
      </c>
      <c r="EA18" s="7" t="n">
        <v>55</v>
      </c>
      <c r="EB18" s="7" t="n">
        <v>51</v>
      </c>
      <c r="EC18" s="7" t="n">
        <v>59</v>
      </c>
      <c r="ED18" s="7" t="n">
        <v>51</v>
      </c>
      <c r="EE18" s="7" t="n">
        <v>52</v>
      </c>
      <c r="EF18" s="7" t="n">
        <v>53</v>
      </c>
      <c r="EG18" s="7" t="n">
        <v>59</v>
      </c>
      <c r="EH18" s="7" t="n">
        <v>52</v>
      </c>
      <c r="EI18" s="7" t="n">
        <v>55</v>
      </c>
      <c r="EJ18" s="7" t="n">
        <v>48</v>
      </c>
      <c r="EK18" s="7" t="n">
        <v>50</v>
      </c>
      <c r="EL18" s="7" t="n">
        <v>55</v>
      </c>
      <c r="EM18" s="7" t="n">
        <v>54</v>
      </c>
      <c r="EN18" s="7" t="n">
        <v>47</v>
      </c>
      <c r="EO18" s="7" t="n">
        <v>52</v>
      </c>
      <c r="EP18" s="7" t="n">
        <v>51</v>
      </c>
      <c r="EQ18" s="7" t="n">
        <v>54</v>
      </c>
      <c r="ER18" s="7" t="n">
        <v>50</v>
      </c>
      <c r="ES18" s="7" t="n">
        <v>55</v>
      </c>
      <c r="ET18" s="7" t="n">
        <v>46</v>
      </c>
      <c r="EU18" s="7" t="n">
        <v>57</v>
      </c>
      <c r="EV18" s="7" t="n">
        <v>54</v>
      </c>
      <c r="EW18" s="7" t="n">
        <v>51</v>
      </c>
      <c r="EX18" s="7" t="n">
        <v>53</v>
      </c>
      <c r="EY18" s="7" t="n">
        <v>54</v>
      </c>
      <c r="EZ18" s="7" t="n">
        <v>46</v>
      </c>
      <c r="FA18" s="7" t="n">
        <v>50</v>
      </c>
      <c r="FB18" s="7" t="n">
        <v>59</v>
      </c>
      <c r="FC18" s="7" t="n">
        <v>51</v>
      </c>
      <c r="FD18" s="7" t="n">
        <v>51</v>
      </c>
      <c r="FE18" s="7" t="n">
        <v>52</v>
      </c>
      <c r="FF18" s="7" t="n">
        <v>49</v>
      </c>
      <c r="FG18" s="7" t="n">
        <v>56</v>
      </c>
      <c r="FH18" s="7" t="n">
        <v>50</v>
      </c>
      <c r="FI18" s="7" t="n">
        <v>49</v>
      </c>
      <c r="FJ18" s="7" t="n">
        <v>50</v>
      </c>
      <c r="FK18" s="7" t="n">
        <v>54</v>
      </c>
      <c r="FL18" s="7" t="n">
        <v>52</v>
      </c>
      <c r="FM18" s="7" t="n">
        <v>56</v>
      </c>
      <c r="FN18" s="7" t="n">
        <v>46</v>
      </c>
      <c r="FO18" s="7" t="n">
        <v>50</v>
      </c>
      <c r="FP18" s="7" t="n">
        <v>53</v>
      </c>
      <c r="FQ18" s="7" t="n">
        <v>49</v>
      </c>
      <c r="FR18" s="7" t="n">
        <v>50</v>
      </c>
      <c r="FS18" s="7" t="n">
        <v>47</v>
      </c>
      <c r="FT18" s="7" t="n">
        <v>48</v>
      </c>
      <c r="FU18" s="7" t="n">
        <v>55</v>
      </c>
      <c r="FV18" s="7" t="n">
        <v>50</v>
      </c>
      <c r="FW18" s="7" t="n">
        <v>52</v>
      </c>
      <c r="FX18" s="7" t="n">
        <v>50</v>
      </c>
      <c r="FY18" s="7" t="n">
        <v>57</v>
      </c>
      <c r="FZ18" s="7" t="n">
        <v>51</v>
      </c>
      <c r="GA18" s="7" t="n">
        <v>50</v>
      </c>
      <c r="GB18" s="7" t="n">
        <v>54</v>
      </c>
      <c r="GC18" s="7" t="n">
        <v>45</v>
      </c>
      <c r="GD18" s="7" t="n">
        <v>52</v>
      </c>
      <c r="GE18" s="7" t="n">
        <v>49</v>
      </c>
      <c r="GF18" s="7" t="n">
        <v>50</v>
      </c>
      <c r="GG18" s="7" t="n">
        <v>51</v>
      </c>
      <c r="GH18" s="7" t="n">
        <v>50</v>
      </c>
      <c r="GI18" s="7" t="n">
        <v>47</v>
      </c>
      <c r="GJ18" s="7" t="n">
        <v>53</v>
      </c>
      <c r="GK18" s="7" t="n">
        <v>51</v>
      </c>
      <c r="GL18" s="7" t="n">
        <v>47</v>
      </c>
      <c r="GM18" s="7" t="n">
        <v>53</v>
      </c>
      <c r="GN18" s="7" t="n">
        <v>51</v>
      </c>
      <c r="GO18" s="7" t="n">
        <v>46</v>
      </c>
      <c r="GP18" s="7" t="n">
        <v>44</v>
      </c>
      <c r="GQ18" s="7" t="n">
        <v>54</v>
      </c>
      <c r="GR18" s="7" t="n">
        <v>51</v>
      </c>
      <c r="GS18" s="7" t="n">
        <v>52</v>
      </c>
      <c r="GT18" s="7" t="n">
        <v>48</v>
      </c>
      <c r="GU18" s="7" t="n">
        <v>49</v>
      </c>
      <c r="GV18" s="7" t="n">
        <v>55</v>
      </c>
      <c r="GW18" s="7" t="n">
        <v>47</v>
      </c>
      <c r="GX18" s="7" t="n">
        <v>49</v>
      </c>
      <c r="GY18" s="7" t="n">
        <v>53</v>
      </c>
      <c r="GZ18" s="7" t="n">
        <v>52</v>
      </c>
      <c r="HA18" s="7" t="n">
        <v>51</v>
      </c>
      <c r="HB18" s="7" t="n">
        <v>46</v>
      </c>
      <c r="HC18" s="7" t="n">
        <v>52</v>
      </c>
      <c r="HD18" s="7" t="n">
        <v>50</v>
      </c>
      <c r="HE18" s="7" t="n">
        <v>51</v>
      </c>
      <c r="HF18" s="7" t="n">
        <v>48</v>
      </c>
      <c r="HG18" s="7" t="n">
        <v>44</v>
      </c>
      <c r="HH18" s="7" t="n">
        <v>52</v>
      </c>
      <c r="HI18" s="7" t="n">
        <v>58</v>
      </c>
      <c r="HJ18" s="7" t="n">
        <v>51</v>
      </c>
      <c r="HK18" s="7" t="n">
        <v>53</v>
      </c>
      <c r="HL18" s="7" t="n">
        <v>48</v>
      </c>
      <c r="HM18" s="7" t="n">
        <v>52</v>
      </c>
      <c r="HN18" s="7" t="n">
        <v>53</v>
      </c>
      <c r="HO18" s="7" t="n">
        <v>51</v>
      </c>
      <c r="HP18" s="7" t="n">
        <v>50</v>
      </c>
      <c r="HQ18" s="7" t="n">
        <v>48</v>
      </c>
      <c r="HR18" s="7" t="n">
        <v>48</v>
      </c>
      <c r="HS18" s="7" t="n">
        <v>45</v>
      </c>
      <c r="HT18" s="7" t="n">
        <v>45</v>
      </c>
      <c r="HU18" s="7" t="n">
        <v>43</v>
      </c>
      <c r="HV18" s="7" t="n">
        <v>42</v>
      </c>
      <c r="HW18" s="7" t="n">
        <v>31</v>
      </c>
      <c r="HX18" s="7" t="n">
        <v>32</v>
      </c>
      <c r="HY18" s="7" t="n">
        <v>15</v>
      </c>
      <c r="HZ18" s="7" t="n">
        <v>16</v>
      </c>
      <c r="IA18" s="7" t="n">
        <v>18</v>
      </c>
      <c r="IB18" s="7" t="n">
        <v>20</v>
      </c>
      <c r="IC18" s="7" t="n">
        <v>27</v>
      </c>
      <c r="ID18" s="7" t="n">
        <v>37</v>
      </c>
      <c r="IE18" s="16" t="n">
        <v>45</v>
      </c>
      <c r="IF18" s="7" t="n">
        <v>41</v>
      </c>
      <c r="IG18" s="7" t="n">
        <v>30</v>
      </c>
      <c r="IH18" s="7" t="n">
        <v>33</v>
      </c>
      <c r="II18" s="7" t="n">
        <v>35</v>
      </c>
      <c r="IJ18" s="7" t="n">
        <v>40</v>
      </c>
      <c r="IK18" s="7" t="n">
        <v>34</v>
      </c>
      <c r="IL18" s="7" t="n">
        <v>35</v>
      </c>
      <c r="IM18" s="7" t="n">
        <v>38</v>
      </c>
      <c r="IN18" s="7" t="n">
        <v>39</v>
      </c>
      <c r="IO18" s="7" t="n">
        <v>43</v>
      </c>
      <c r="IP18" s="7" t="n">
        <v>39</v>
      </c>
      <c r="IQ18" s="7"/>
      <c r="IR18" s="7"/>
      <c r="IS18" s="7"/>
      <c r="IT18" s="7"/>
      <c r="IU18" s="7"/>
      <c r="IV18" s="7"/>
      <c r="IW18" s="7"/>
      <c r="IX18" s="7"/>
      <c r="IY18" s="7"/>
      <c r="IZ18" s="7"/>
    </row>
    <row r="19" customFormat="false" ht="22.5" hidden="false" customHeight="true" outlineLevel="0" collapsed="false">
      <c r="A19" s="15" t="s">
        <v>298</v>
      </c>
      <c r="B19" s="7" t="n">
        <v>54</v>
      </c>
      <c r="C19" s="7" t="n">
        <v>63</v>
      </c>
      <c r="D19" s="7" t="n">
        <v>47</v>
      </c>
      <c r="E19" s="7" t="n">
        <v>52</v>
      </c>
      <c r="F19" s="7" t="n">
        <v>53</v>
      </c>
      <c r="G19" s="7" t="n">
        <v>50</v>
      </c>
      <c r="H19" s="7" t="n">
        <v>51</v>
      </c>
      <c r="I19" s="7" t="n">
        <v>50</v>
      </c>
      <c r="J19" s="7" t="n">
        <v>59</v>
      </c>
      <c r="K19" s="7" t="n">
        <v>51</v>
      </c>
      <c r="L19" s="7" t="n">
        <v>49</v>
      </c>
      <c r="M19" s="7" t="n">
        <v>52</v>
      </c>
      <c r="N19" s="7" t="n">
        <v>50</v>
      </c>
      <c r="O19" s="7" t="n">
        <v>49</v>
      </c>
      <c r="P19" s="7" t="n">
        <v>43</v>
      </c>
      <c r="Q19" s="7" t="n">
        <v>48</v>
      </c>
      <c r="R19" s="7" t="n">
        <v>55</v>
      </c>
      <c r="S19" s="7" t="n">
        <v>49</v>
      </c>
      <c r="T19" s="7" t="n">
        <v>50</v>
      </c>
      <c r="U19" s="7" t="n">
        <v>45</v>
      </c>
      <c r="V19" s="7" t="n">
        <v>55</v>
      </c>
      <c r="W19" s="7" t="n">
        <v>52</v>
      </c>
      <c r="X19" s="7" t="n">
        <v>48</v>
      </c>
      <c r="Y19" s="7" t="n">
        <v>55</v>
      </c>
      <c r="Z19" s="7" t="n">
        <v>47</v>
      </c>
      <c r="AA19" s="7" t="n">
        <v>52</v>
      </c>
      <c r="AB19" s="7" t="n">
        <v>52</v>
      </c>
      <c r="AC19" s="7" t="n">
        <v>50</v>
      </c>
      <c r="AD19" s="7" t="n">
        <v>47</v>
      </c>
      <c r="AE19" s="7" t="n">
        <v>46</v>
      </c>
      <c r="AF19" s="7" t="n">
        <v>46</v>
      </c>
      <c r="AG19" s="7" t="n">
        <v>48</v>
      </c>
      <c r="AH19" s="7" t="n">
        <v>45</v>
      </c>
      <c r="AI19" s="7" t="n">
        <v>42</v>
      </c>
      <c r="AJ19" s="7" t="n">
        <v>48</v>
      </c>
      <c r="AK19" s="7" t="n">
        <v>55</v>
      </c>
      <c r="AL19" s="7" t="n">
        <v>48</v>
      </c>
      <c r="AM19" s="7" t="n">
        <v>52</v>
      </c>
      <c r="AN19" s="7" t="n">
        <v>45</v>
      </c>
      <c r="AO19" s="7" t="n">
        <v>43</v>
      </c>
      <c r="AP19" s="7" t="n">
        <v>44</v>
      </c>
      <c r="AQ19" s="7" t="n">
        <v>50</v>
      </c>
      <c r="AR19" s="7" t="n">
        <v>48</v>
      </c>
      <c r="AS19" s="7" t="n">
        <v>45</v>
      </c>
      <c r="AT19" s="7" t="n">
        <v>46</v>
      </c>
      <c r="AU19" s="7" t="n">
        <v>47</v>
      </c>
      <c r="AV19" s="7" t="n">
        <v>41</v>
      </c>
      <c r="AW19" s="7" t="n">
        <v>47</v>
      </c>
      <c r="AX19" s="7" t="n">
        <v>42</v>
      </c>
      <c r="AY19" s="7" t="n">
        <v>39</v>
      </c>
      <c r="AZ19" s="7" t="n">
        <v>43</v>
      </c>
      <c r="BA19" s="7" t="n">
        <v>39</v>
      </c>
      <c r="BB19" s="7" t="n">
        <v>47</v>
      </c>
      <c r="BC19" s="7" t="n">
        <v>47</v>
      </c>
      <c r="BD19" s="7" t="n">
        <v>41</v>
      </c>
      <c r="BE19" s="7" t="n">
        <v>54</v>
      </c>
      <c r="BF19" s="7" t="n">
        <v>54</v>
      </c>
      <c r="BG19" s="7" t="n">
        <v>54</v>
      </c>
      <c r="BH19" s="7" t="n">
        <v>51</v>
      </c>
      <c r="BI19" s="7" t="n">
        <v>48</v>
      </c>
      <c r="BJ19" s="7" t="n">
        <v>47</v>
      </c>
      <c r="BK19" s="7" t="n">
        <v>46</v>
      </c>
      <c r="BL19" s="7" t="n">
        <v>48</v>
      </c>
      <c r="BM19" s="7" t="n">
        <v>46</v>
      </c>
      <c r="BN19" s="7" t="n">
        <v>50</v>
      </c>
      <c r="BO19" s="7" t="n">
        <v>52</v>
      </c>
      <c r="BP19" s="7" t="n">
        <v>46</v>
      </c>
      <c r="BQ19" s="7" t="n">
        <v>50</v>
      </c>
      <c r="BR19" s="7" t="n">
        <v>42</v>
      </c>
      <c r="BS19" s="7" t="n">
        <v>53</v>
      </c>
      <c r="BT19" s="7" t="n">
        <v>44</v>
      </c>
      <c r="BU19" s="7" t="n">
        <v>47</v>
      </c>
      <c r="BV19" s="7" t="n">
        <v>47</v>
      </c>
      <c r="BW19" s="7" t="n">
        <v>43</v>
      </c>
      <c r="BX19" s="7" t="n">
        <v>44</v>
      </c>
      <c r="BY19" s="7" t="n">
        <v>50</v>
      </c>
      <c r="BZ19" s="7" t="n">
        <v>49</v>
      </c>
      <c r="CA19" s="7" t="n">
        <v>46</v>
      </c>
      <c r="CB19" s="7" t="n">
        <v>49</v>
      </c>
      <c r="CC19" s="7" t="n">
        <v>46</v>
      </c>
      <c r="CD19" s="7" t="n">
        <v>47</v>
      </c>
      <c r="CE19" s="7" t="n">
        <v>46</v>
      </c>
      <c r="CF19" s="7" t="n">
        <v>51</v>
      </c>
      <c r="CG19" s="7" t="n">
        <v>47</v>
      </c>
      <c r="CH19" s="7" t="n">
        <v>45</v>
      </c>
      <c r="CI19" s="7" t="n">
        <v>46</v>
      </c>
      <c r="CJ19" s="7" t="n">
        <v>42</v>
      </c>
      <c r="CK19" s="7" t="n">
        <v>48</v>
      </c>
      <c r="CL19" s="7" t="n">
        <v>44</v>
      </c>
      <c r="CM19" s="7" t="n">
        <v>46</v>
      </c>
      <c r="CN19" s="7" t="n">
        <v>50</v>
      </c>
      <c r="CO19" s="7" t="n">
        <v>46</v>
      </c>
      <c r="CP19" s="7" t="n">
        <v>46</v>
      </c>
      <c r="CQ19" s="7" t="n">
        <v>47</v>
      </c>
      <c r="CR19" s="7" t="n">
        <v>43</v>
      </c>
      <c r="CS19" s="7" t="n">
        <v>51</v>
      </c>
      <c r="CT19" s="7" t="n">
        <v>50</v>
      </c>
      <c r="CU19" s="7" t="n">
        <v>44</v>
      </c>
      <c r="CV19" s="7" t="n">
        <v>43</v>
      </c>
      <c r="CW19" s="7" t="n">
        <v>48</v>
      </c>
      <c r="CX19" s="7" t="n">
        <v>47</v>
      </c>
      <c r="CY19" s="7" t="n">
        <v>43</v>
      </c>
      <c r="CZ19" s="7" t="n">
        <v>45</v>
      </c>
      <c r="DA19" s="7" t="n">
        <v>50</v>
      </c>
      <c r="DB19" s="7" t="n">
        <v>49</v>
      </c>
      <c r="DC19" s="7" t="n">
        <v>48</v>
      </c>
      <c r="DD19" s="7" t="n">
        <v>47</v>
      </c>
      <c r="DE19" s="7" t="n">
        <v>48</v>
      </c>
      <c r="DF19" s="7" t="n">
        <v>49</v>
      </c>
      <c r="DG19" s="7" t="n">
        <v>49</v>
      </c>
      <c r="DH19" s="7" t="n">
        <v>46</v>
      </c>
      <c r="DI19" s="7" t="n">
        <v>49</v>
      </c>
      <c r="DJ19" s="7" t="n">
        <v>46</v>
      </c>
      <c r="DK19" s="7" t="n">
        <v>47</v>
      </c>
      <c r="DL19" s="7" t="n">
        <v>46</v>
      </c>
      <c r="DM19" s="7" t="n">
        <v>51</v>
      </c>
      <c r="DN19" s="7" t="n">
        <v>47</v>
      </c>
      <c r="DO19" s="7" t="n">
        <v>45</v>
      </c>
      <c r="DP19" s="7" t="n">
        <v>42</v>
      </c>
      <c r="DQ19" s="7" t="n">
        <v>49</v>
      </c>
      <c r="DR19" s="7" t="n">
        <v>46</v>
      </c>
      <c r="DS19" s="7" t="n">
        <v>49</v>
      </c>
      <c r="DT19" s="7" t="n">
        <v>46</v>
      </c>
      <c r="DU19" s="7" t="n">
        <v>47</v>
      </c>
      <c r="DV19" s="7" t="n">
        <v>46</v>
      </c>
      <c r="DW19" s="7" t="n">
        <v>51</v>
      </c>
      <c r="DX19" s="7" t="n">
        <v>47</v>
      </c>
      <c r="DY19" s="7" t="n">
        <v>45</v>
      </c>
      <c r="DZ19" s="7" t="n">
        <v>42</v>
      </c>
      <c r="EA19" s="7" t="n">
        <v>57</v>
      </c>
      <c r="EB19" s="7" t="n">
        <v>52</v>
      </c>
      <c r="EC19" s="7" t="n">
        <v>54</v>
      </c>
      <c r="ED19" s="7" t="n">
        <v>56</v>
      </c>
      <c r="EE19" s="7" t="n">
        <v>50</v>
      </c>
      <c r="EF19" s="7" t="n">
        <v>56</v>
      </c>
      <c r="EG19" s="7" t="n">
        <v>53</v>
      </c>
      <c r="EH19" s="7" t="n">
        <v>52</v>
      </c>
      <c r="EI19" s="7" t="n">
        <v>57</v>
      </c>
      <c r="EJ19" s="7" t="n">
        <v>56</v>
      </c>
      <c r="EK19" s="7" t="n">
        <v>45</v>
      </c>
      <c r="EL19" s="7" t="n">
        <v>50</v>
      </c>
      <c r="EM19" s="7" t="n">
        <v>49</v>
      </c>
      <c r="EN19" s="7" t="n">
        <v>47</v>
      </c>
      <c r="EO19" s="7" t="n">
        <v>51</v>
      </c>
      <c r="EP19" s="7" t="n">
        <v>52</v>
      </c>
      <c r="EQ19" s="7" t="n">
        <v>47</v>
      </c>
      <c r="ER19" s="7" t="n">
        <v>56</v>
      </c>
      <c r="ES19" s="7" t="n">
        <v>53</v>
      </c>
      <c r="ET19" s="7" t="n">
        <v>51</v>
      </c>
      <c r="EU19" s="7" t="n">
        <v>50</v>
      </c>
      <c r="EV19" s="7" t="n">
        <v>52</v>
      </c>
      <c r="EW19" s="7" t="n">
        <v>53</v>
      </c>
      <c r="EX19" s="7" t="n">
        <v>56</v>
      </c>
      <c r="EY19" s="7" t="n">
        <v>54</v>
      </c>
      <c r="EZ19" s="7" t="n">
        <v>55</v>
      </c>
      <c r="FA19" s="7" t="n">
        <v>56</v>
      </c>
      <c r="FB19" s="7" t="n">
        <v>52</v>
      </c>
      <c r="FC19" s="7" t="n">
        <v>57</v>
      </c>
      <c r="FD19" s="7" t="n">
        <v>53</v>
      </c>
      <c r="FE19" s="7" t="n">
        <v>53</v>
      </c>
      <c r="FF19" s="7" t="n">
        <v>54</v>
      </c>
      <c r="FG19" s="7" t="n">
        <v>54</v>
      </c>
      <c r="FH19" s="7" t="n">
        <v>56</v>
      </c>
      <c r="FI19" s="7" t="n">
        <v>54</v>
      </c>
      <c r="FJ19" s="7" t="n">
        <v>52</v>
      </c>
      <c r="FK19" s="7" t="n">
        <v>49</v>
      </c>
      <c r="FL19" s="7" t="n">
        <v>54</v>
      </c>
      <c r="FM19" s="7" t="n">
        <v>53</v>
      </c>
      <c r="FN19" s="7" t="n">
        <v>46</v>
      </c>
      <c r="FO19" s="7" t="n">
        <v>55</v>
      </c>
      <c r="FP19" s="7" t="n">
        <v>53</v>
      </c>
      <c r="FQ19" s="7" t="n">
        <v>54</v>
      </c>
      <c r="FR19" s="7" t="n">
        <v>52</v>
      </c>
      <c r="FS19" s="7" t="n">
        <v>55</v>
      </c>
      <c r="FT19" s="7" t="n">
        <v>48</v>
      </c>
      <c r="FU19" s="7" t="n">
        <v>52</v>
      </c>
      <c r="FV19" s="7" t="n">
        <v>49</v>
      </c>
      <c r="FW19" s="7" t="n">
        <v>52</v>
      </c>
      <c r="FX19" s="7" t="n">
        <v>55</v>
      </c>
      <c r="FY19" s="7" t="n">
        <v>52</v>
      </c>
      <c r="FZ19" s="7" t="n">
        <v>47</v>
      </c>
      <c r="GA19" s="7" t="n">
        <v>54</v>
      </c>
      <c r="GB19" s="7" t="n">
        <v>49</v>
      </c>
      <c r="GC19" s="7" t="n">
        <v>55</v>
      </c>
      <c r="GD19" s="7" t="n">
        <v>53</v>
      </c>
      <c r="GE19" s="7" t="n">
        <v>52</v>
      </c>
      <c r="GF19" s="7" t="n">
        <v>51</v>
      </c>
      <c r="GG19" s="7" t="n">
        <v>58</v>
      </c>
      <c r="GH19" s="7" t="n">
        <v>48</v>
      </c>
      <c r="GI19" s="7" t="n">
        <v>49</v>
      </c>
      <c r="GJ19" s="7" t="n">
        <v>52</v>
      </c>
      <c r="GK19" s="7" t="n">
        <v>54</v>
      </c>
      <c r="GL19" s="7" t="n">
        <v>51</v>
      </c>
      <c r="GM19" s="7" t="n">
        <v>53</v>
      </c>
      <c r="GN19" s="7" t="n">
        <v>54</v>
      </c>
      <c r="GO19" s="7" t="n">
        <v>57</v>
      </c>
      <c r="GP19" s="7" t="n">
        <v>52</v>
      </c>
      <c r="GQ19" s="7" t="n">
        <v>54</v>
      </c>
      <c r="GR19" s="7" t="n">
        <v>59</v>
      </c>
      <c r="GS19" s="7" t="n">
        <v>59</v>
      </c>
      <c r="GT19" s="7" t="n">
        <v>55</v>
      </c>
      <c r="GU19" s="7" t="n">
        <v>50</v>
      </c>
      <c r="GV19" s="7" t="n">
        <v>58</v>
      </c>
      <c r="GW19" s="7" t="n">
        <v>58</v>
      </c>
      <c r="GX19" s="7" t="n">
        <v>60</v>
      </c>
      <c r="GY19" s="7" t="n">
        <v>58</v>
      </c>
      <c r="GZ19" s="7" t="n">
        <v>56</v>
      </c>
      <c r="HA19" s="7" t="n">
        <v>53</v>
      </c>
      <c r="HB19" s="7" t="n">
        <v>55</v>
      </c>
      <c r="HC19" s="7" t="n">
        <v>46</v>
      </c>
      <c r="HD19" s="7" t="n">
        <v>52</v>
      </c>
      <c r="HE19" s="7" t="n">
        <v>52</v>
      </c>
      <c r="HF19" s="7" t="n">
        <v>52</v>
      </c>
      <c r="HG19" s="7" t="n">
        <v>51</v>
      </c>
      <c r="HH19" s="7" t="n">
        <v>50</v>
      </c>
      <c r="HI19" s="7" t="n">
        <v>55</v>
      </c>
      <c r="HJ19" s="7" t="n">
        <v>56</v>
      </c>
      <c r="HK19" s="7" t="n">
        <v>54</v>
      </c>
      <c r="HL19" s="7" t="n">
        <v>58</v>
      </c>
      <c r="HM19" s="7" t="n">
        <v>54</v>
      </c>
      <c r="HN19" s="7" t="n">
        <v>53</v>
      </c>
      <c r="HO19" s="7" t="n">
        <v>55</v>
      </c>
      <c r="HP19" s="7" t="n">
        <v>59</v>
      </c>
      <c r="HQ19" s="7" t="n">
        <v>52</v>
      </c>
      <c r="HR19" s="7" t="n">
        <v>53</v>
      </c>
      <c r="HS19" s="7" t="n">
        <v>53</v>
      </c>
      <c r="HT19" s="7" t="n">
        <v>53</v>
      </c>
      <c r="HU19" s="7" t="n">
        <v>47</v>
      </c>
      <c r="HV19" s="7" t="n">
        <v>47</v>
      </c>
      <c r="HW19" s="7" t="n">
        <v>43</v>
      </c>
      <c r="HX19" s="7" t="n">
        <v>38</v>
      </c>
      <c r="HY19" s="7" t="n">
        <v>27</v>
      </c>
      <c r="HZ19" s="7" t="n">
        <v>25</v>
      </c>
      <c r="IA19" s="7" t="n">
        <v>19</v>
      </c>
      <c r="IB19" s="7" t="n">
        <v>20</v>
      </c>
      <c r="IC19" s="7" t="n">
        <v>34</v>
      </c>
      <c r="ID19" s="7" t="n">
        <v>31</v>
      </c>
      <c r="IE19" s="16" t="n">
        <v>41</v>
      </c>
      <c r="IF19" s="7" t="n">
        <v>36</v>
      </c>
      <c r="IG19" s="7" t="n">
        <v>30</v>
      </c>
      <c r="IH19" s="7" t="n">
        <v>29</v>
      </c>
      <c r="II19" s="7" t="n">
        <v>29</v>
      </c>
      <c r="IJ19" s="7" t="n">
        <v>33</v>
      </c>
      <c r="IK19" s="7" t="n">
        <v>43</v>
      </c>
      <c r="IL19" s="7" t="n">
        <v>43</v>
      </c>
      <c r="IM19" s="7" t="n">
        <v>46</v>
      </c>
      <c r="IN19" s="7" t="n">
        <v>43</v>
      </c>
      <c r="IO19" s="7" t="n">
        <v>44</v>
      </c>
      <c r="IP19" s="7" t="n">
        <v>46</v>
      </c>
      <c r="IQ19" s="7"/>
      <c r="IR19" s="7"/>
      <c r="IS19" s="7"/>
      <c r="IT19" s="7"/>
      <c r="IU19" s="7"/>
      <c r="IV19" s="7"/>
      <c r="IW19" s="7"/>
      <c r="IX19" s="7"/>
      <c r="IY19" s="7"/>
      <c r="IZ19" s="7"/>
    </row>
    <row r="20" customFormat="false" ht="22.5" hidden="false" customHeight="true" outlineLevel="0" collapsed="false">
      <c r="A20" s="15" t="s">
        <v>299</v>
      </c>
      <c r="B20" s="7" t="n">
        <v>45</v>
      </c>
      <c r="C20" s="7" t="n">
        <v>47</v>
      </c>
      <c r="D20" s="7" t="n">
        <v>53</v>
      </c>
      <c r="E20" s="7" t="n">
        <v>50</v>
      </c>
      <c r="F20" s="7" t="n">
        <v>49</v>
      </c>
      <c r="G20" s="7" t="n">
        <v>47</v>
      </c>
      <c r="H20" s="7" t="n">
        <v>43</v>
      </c>
      <c r="I20" s="7" t="n">
        <v>51</v>
      </c>
      <c r="J20" s="7" t="n">
        <v>51</v>
      </c>
      <c r="K20" s="7" t="n">
        <v>49</v>
      </c>
      <c r="L20" s="7" t="n">
        <v>46</v>
      </c>
      <c r="M20" s="7" t="n">
        <v>48</v>
      </c>
      <c r="N20" s="7" t="n">
        <v>43</v>
      </c>
      <c r="O20" s="7" t="n">
        <v>44</v>
      </c>
      <c r="P20" s="7" t="n">
        <v>45</v>
      </c>
      <c r="Q20" s="7" t="n">
        <v>46</v>
      </c>
      <c r="R20" s="7" t="n">
        <v>45</v>
      </c>
      <c r="S20" s="7" t="n">
        <v>44</v>
      </c>
      <c r="T20" s="7" t="n">
        <v>40</v>
      </c>
      <c r="U20" s="7" t="n">
        <v>44</v>
      </c>
      <c r="V20" s="7" t="n">
        <v>44</v>
      </c>
      <c r="W20" s="7" t="n">
        <v>50</v>
      </c>
      <c r="X20" s="7" t="n">
        <v>47</v>
      </c>
      <c r="Y20" s="7" t="n">
        <v>46</v>
      </c>
      <c r="Z20" s="7" t="n">
        <v>46</v>
      </c>
      <c r="AA20" s="7" t="n">
        <v>51</v>
      </c>
      <c r="AB20" s="7" t="n">
        <v>45</v>
      </c>
      <c r="AC20" s="7" t="n">
        <v>47</v>
      </c>
      <c r="AD20" s="7" t="n">
        <v>48</v>
      </c>
      <c r="AE20" s="7" t="n">
        <v>34</v>
      </c>
      <c r="AF20" s="7" t="n">
        <v>41</v>
      </c>
      <c r="AG20" s="7" t="n">
        <v>43</v>
      </c>
      <c r="AH20" s="7" t="n">
        <v>41</v>
      </c>
      <c r="AI20" s="7" t="n">
        <v>45</v>
      </c>
      <c r="AJ20" s="7" t="n">
        <v>44</v>
      </c>
      <c r="AK20" s="7" t="n">
        <v>43</v>
      </c>
      <c r="AL20" s="7" t="n">
        <v>46</v>
      </c>
      <c r="AM20" s="7" t="n">
        <v>44</v>
      </c>
      <c r="AN20" s="7" t="n">
        <v>45</v>
      </c>
      <c r="AO20" s="7" t="n">
        <v>44</v>
      </c>
      <c r="AP20" s="7" t="n">
        <v>47</v>
      </c>
      <c r="AQ20" s="7" t="n">
        <v>42</v>
      </c>
      <c r="AR20" s="7" t="n">
        <v>49</v>
      </c>
      <c r="AS20" s="7" t="n">
        <v>47</v>
      </c>
      <c r="AT20" s="7" t="n">
        <v>45</v>
      </c>
      <c r="AU20" s="7" t="n">
        <v>45</v>
      </c>
      <c r="AV20" s="7" t="n">
        <v>37</v>
      </c>
      <c r="AW20" s="7" t="n">
        <v>41</v>
      </c>
      <c r="AX20" s="7" t="n">
        <v>40</v>
      </c>
      <c r="AY20" s="7" t="n">
        <v>42</v>
      </c>
      <c r="AZ20" s="7" t="n">
        <v>45</v>
      </c>
      <c r="BA20" s="7" t="n">
        <v>44</v>
      </c>
      <c r="BB20" s="7" t="n">
        <v>45</v>
      </c>
      <c r="BC20" s="7" t="n">
        <v>43</v>
      </c>
      <c r="BD20" s="7" t="n">
        <v>45</v>
      </c>
      <c r="BE20" s="7" t="n">
        <v>50</v>
      </c>
      <c r="BF20" s="7" t="n">
        <v>50</v>
      </c>
      <c r="BG20" s="7" t="n">
        <v>40</v>
      </c>
      <c r="BH20" s="7" t="n">
        <v>48</v>
      </c>
      <c r="BI20" s="7" t="n">
        <v>49</v>
      </c>
      <c r="BJ20" s="7" t="n">
        <v>49</v>
      </c>
      <c r="BK20" s="7" t="n">
        <v>41</v>
      </c>
      <c r="BL20" s="7" t="n">
        <v>50</v>
      </c>
      <c r="BM20" s="7" t="n">
        <v>42</v>
      </c>
      <c r="BN20" s="7" t="n">
        <v>49</v>
      </c>
      <c r="BO20" s="7" t="n">
        <v>49</v>
      </c>
      <c r="BP20" s="7" t="n">
        <v>46</v>
      </c>
      <c r="BQ20" s="7" t="n">
        <v>49</v>
      </c>
      <c r="BR20" s="7" t="n">
        <v>44</v>
      </c>
      <c r="BS20" s="7" t="n">
        <v>47</v>
      </c>
      <c r="BT20" s="7" t="n">
        <v>50</v>
      </c>
      <c r="BU20" s="7" t="n">
        <v>41</v>
      </c>
      <c r="BV20" s="7" t="n">
        <v>41</v>
      </c>
      <c r="BW20" s="7" t="n">
        <v>49</v>
      </c>
      <c r="BX20" s="7" t="n">
        <v>41</v>
      </c>
      <c r="BY20" s="7" t="n">
        <v>44</v>
      </c>
      <c r="BZ20" s="7" t="n">
        <v>49</v>
      </c>
      <c r="CA20" s="7" t="n">
        <v>46</v>
      </c>
      <c r="CB20" s="7" t="n">
        <v>48</v>
      </c>
      <c r="CC20" s="7" t="n">
        <v>44</v>
      </c>
      <c r="CD20" s="7" t="n">
        <v>41</v>
      </c>
      <c r="CE20" s="7" t="n">
        <v>46</v>
      </c>
      <c r="CF20" s="7" t="n">
        <v>49</v>
      </c>
      <c r="CG20" s="7" t="n">
        <v>45</v>
      </c>
      <c r="CH20" s="7" t="n">
        <v>45</v>
      </c>
      <c r="CI20" s="7" t="n">
        <v>49</v>
      </c>
      <c r="CJ20" s="7" t="n">
        <v>46</v>
      </c>
      <c r="CK20" s="7" t="n">
        <v>49</v>
      </c>
      <c r="CL20" s="7" t="n">
        <v>47</v>
      </c>
      <c r="CM20" s="7" t="n">
        <v>43</v>
      </c>
      <c r="CN20" s="7" t="n">
        <v>45</v>
      </c>
      <c r="CO20" s="7" t="n">
        <v>49</v>
      </c>
      <c r="CP20" s="7" t="n">
        <v>40</v>
      </c>
      <c r="CQ20" s="7" t="n">
        <v>49</v>
      </c>
      <c r="CR20" s="7" t="n">
        <v>48</v>
      </c>
      <c r="CS20" s="7" t="n">
        <v>47</v>
      </c>
      <c r="CT20" s="7" t="n">
        <v>47</v>
      </c>
      <c r="CU20" s="7" t="n">
        <v>50</v>
      </c>
      <c r="CV20" s="7" t="n">
        <v>41</v>
      </c>
      <c r="CW20" s="7" t="n">
        <v>42</v>
      </c>
      <c r="CX20" s="7" t="n">
        <v>45</v>
      </c>
      <c r="CY20" s="7" t="n">
        <v>46</v>
      </c>
      <c r="CZ20" s="7" t="n">
        <v>40</v>
      </c>
      <c r="DA20" s="7" t="n">
        <v>42</v>
      </c>
      <c r="DB20" s="7" t="n">
        <v>51</v>
      </c>
      <c r="DC20" s="7" t="n">
        <v>40</v>
      </c>
      <c r="DD20" s="7" t="n">
        <v>41</v>
      </c>
      <c r="DE20" s="7" t="n">
        <v>46</v>
      </c>
      <c r="DF20" s="7" t="n">
        <v>49</v>
      </c>
      <c r="DG20" s="7" t="n">
        <v>49</v>
      </c>
      <c r="DH20" s="7" t="n">
        <v>46</v>
      </c>
      <c r="DI20" s="7" t="n">
        <v>48</v>
      </c>
      <c r="DJ20" s="7" t="n">
        <v>44</v>
      </c>
      <c r="DK20" s="7" t="n">
        <v>41</v>
      </c>
      <c r="DL20" s="7" t="n">
        <v>46</v>
      </c>
      <c r="DM20" s="7" t="n">
        <v>49</v>
      </c>
      <c r="DN20" s="7" t="n">
        <v>45</v>
      </c>
      <c r="DO20" s="7" t="n">
        <v>45</v>
      </c>
      <c r="DP20" s="7" t="n">
        <v>46</v>
      </c>
      <c r="DQ20" s="7" t="n">
        <v>49</v>
      </c>
      <c r="DR20" s="7" t="n">
        <v>46</v>
      </c>
      <c r="DS20" s="7" t="n">
        <v>48</v>
      </c>
      <c r="DT20" s="7" t="n">
        <v>44</v>
      </c>
      <c r="DU20" s="7" t="n">
        <v>41</v>
      </c>
      <c r="DV20" s="7" t="n">
        <v>46</v>
      </c>
      <c r="DW20" s="7" t="n">
        <v>49</v>
      </c>
      <c r="DX20" s="7" t="n">
        <v>45</v>
      </c>
      <c r="DY20" s="7" t="n">
        <v>45</v>
      </c>
      <c r="DZ20" s="7" t="n">
        <v>46</v>
      </c>
      <c r="EA20" s="7" t="n">
        <v>44</v>
      </c>
      <c r="EB20" s="7" t="n">
        <v>43</v>
      </c>
      <c r="EC20" s="7" t="n">
        <v>50</v>
      </c>
      <c r="ED20" s="7" t="n">
        <v>47</v>
      </c>
      <c r="EE20" s="7" t="n">
        <v>44</v>
      </c>
      <c r="EF20" s="7" t="n">
        <v>42</v>
      </c>
      <c r="EG20" s="7" t="n">
        <v>52</v>
      </c>
      <c r="EH20" s="7" t="n">
        <v>50</v>
      </c>
      <c r="EI20" s="7" t="n">
        <v>46</v>
      </c>
      <c r="EJ20" s="7" t="n">
        <v>44</v>
      </c>
      <c r="EK20" s="7" t="n">
        <v>46</v>
      </c>
      <c r="EL20" s="7" t="n">
        <v>51</v>
      </c>
      <c r="EM20" s="7" t="n">
        <v>47</v>
      </c>
      <c r="EN20" s="7" t="n">
        <v>46</v>
      </c>
      <c r="EO20" s="7" t="n">
        <v>48</v>
      </c>
      <c r="EP20" s="7" t="n">
        <v>50</v>
      </c>
      <c r="EQ20" s="7" t="n">
        <v>46</v>
      </c>
      <c r="ER20" s="7" t="n">
        <v>47</v>
      </c>
      <c r="ES20" s="7" t="n">
        <v>48</v>
      </c>
      <c r="ET20" s="7" t="n">
        <v>49</v>
      </c>
      <c r="EU20" s="7" t="n">
        <v>47</v>
      </c>
      <c r="EV20" s="7" t="n">
        <v>46</v>
      </c>
      <c r="EW20" s="7" t="n">
        <v>49</v>
      </c>
      <c r="EX20" s="7" t="n">
        <v>51</v>
      </c>
      <c r="EY20" s="7" t="n">
        <v>55</v>
      </c>
      <c r="EZ20" s="7" t="n">
        <v>52</v>
      </c>
      <c r="FA20" s="7" t="n">
        <v>50</v>
      </c>
      <c r="FB20" s="7" t="n">
        <v>51</v>
      </c>
      <c r="FC20" s="7" t="n">
        <v>51</v>
      </c>
      <c r="FD20" s="7" t="n">
        <v>51</v>
      </c>
      <c r="FE20" s="7" t="n">
        <v>53</v>
      </c>
      <c r="FF20" s="7" t="n">
        <v>58</v>
      </c>
      <c r="FG20" s="7" t="n">
        <v>53</v>
      </c>
      <c r="FH20" s="7" t="n">
        <v>51</v>
      </c>
      <c r="FI20" s="7" t="n">
        <v>58</v>
      </c>
      <c r="FJ20" s="7" t="n">
        <v>43</v>
      </c>
      <c r="FK20" s="7" t="n">
        <v>59</v>
      </c>
      <c r="FL20" s="7" t="n">
        <v>46</v>
      </c>
      <c r="FM20" s="7" t="n">
        <v>49</v>
      </c>
      <c r="FN20" s="7" t="n">
        <v>49</v>
      </c>
      <c r="FO20" s="7" t="n">
        <v>49</v>
      </c>
      <c r="FP20" s="7" t="n">
        <v>53</v>
      </c>
      <c r="FQ20" s="7" t="n">
        <v>48</v>
      </c>
      <c r="FR20" s="7" t="n">
        <v>53</v>
      </c>
      <c r="FS20" s="7" t="n">
        <v>52</v>
      </c>
      <c r="FT20" s="7" t="n">
        <v>53</v>
      </c>
      <c r="FU20" s="7" t="n">
        <v>48</v>
      </c>
      <c r="FV20" s="7" t="n">
        <v>46</v>
      </c>
      <c r="FW20" s="7" t="n">
        <v>47</v>
      </c>
      <c r="FX20" s="7" t="n">
        <v>56</v>
      </c>
      <c r="FY20" s="7" t="n">
        <v>52</v>
      </c>
      <c r="FZ20" s="7" t="n">
        <v>43</v>
      </c>
      <c r="GA20" s="7" t="n">
        <v>48</v>
      </c>
      <c r="GB20" s="7" t="n">
        <v>47</v>
      </c>
      <c r="GC20" s="7" t="n">
        <v>52</v>
      </c>
      <c r="GD20" s="7" t="n">
        <v>48</v>
      </c>
      <c r="GE20" s="7" t="n">
        <v>52</v>
      </c>
      <c r="GF20" s="7" t="n">
        <v>51</v>
      </c>
      <c r="GG20" s="7" t="n">
        <v>50</v>
      </c>
      <c r="GH20" s="7" t="n">
        <v>50</v>
      </c>
      <c r="GI20" s="7" t="n">
        <v>50</v>
      </c>
      <c r="GJ20" s="7" t="n">
        <v>48</v>
      </c>
      <c r="GK20" s="7" t="n">
        <v>53</v>
      </c>
      <c r="GL20" s="7" t="n">
        <v>50</v>
      </c>
      <c r="GM20" s="7" t="n">
        <v>47</v>
      </c>
      <c r="GN20" s="7" t="n">
        <v>50</v>
      </c>
      <c r="GO20" s="7" t="n">
        <v>47</v>
      </c>
      <c r="GP20" s="7" t="n">
        <v>44</v>
      </c>
      <c r="GQ20" s="7" t="n">
        <v>51</v>
      </c>
      <c r="GR20" s="7" t="n">
        <v>52</v>
      </c>
      <c r="GS20" s="7" t="n">
        <v>51</v>
      </c>
      <c r="GT20" s="7" t="n">
        <v>51</v>
      </c>
      <c r="GU20" s="7" t="n">
        <v>50</v>
      </c>
      <c r="GV20" s="7" t="n">
        <v>56</v>
      </c>
      <c r="GW20" s="7" t="n">
        <v>51</v>
      </c>
      <c r="GX20" s="7" t="n">
        <v>53</v>
      </c>
      <c r="GY20" s="7" t="n">
        <v>50</v>
      </c>
      <c r="GZ20" s="7" t="n">
        <v>47</v>
      </c>
      <c r="HA20" s="7" t="n">
        <v>52</v>
      </c>
      <c r="HB20" s="7" t="n">
        <v>53</v>
      </c>
      <c r="HC20" s="7" t="n">
        <v>54</v>
      </c>
      <c r="HD20" s="7" t="n">
        <v>53</v>
      </c>
      <c r="HE20" s="7" t="n">
        <v>55</v>
      </c>
      <c r="HF20" s="7" t="n">
        <v>52</v>
      </c>
      <c r="HG20" s="7" t="n">
        <v>52</v>
      </c>
      <c r="HH20" s="7" t="n">
        <v>48</v>
      </c>
      <c r="HI20" s="7" t="n">
        <v>47</v>
      </c>
      <c r="HJ20" s="7" t="n">
        <v>52</v>
      </c>
      <c r="HK20" s="7" t="n">
        <v>49</v>
      </c>
      <c r="HL20" s="7" t="n">
        <v>49</v>
      </c>
      <c r="HM20" s="7" t="n">
        <v>53</v>
      </c>
      <c r="HN20" s="7" t="n">
        <v>53</v>
      </c>
      <c r="HO20" s="7" t="n">
        <v>50</v>
      </c>
      <c r="HP20" s="7" t="n">
        <v>54</v>
      </c>
      <c r="HQ20" s="7" t="n">
        <v>49</v>
      </c>
      <c r="HR20" s="7" t="n">
        <v>56</v>
      </c>
      <c r="HS20" s="7" t="n">
        <v>52</v>
      </c>
      <c r="HT20" s="7" t="n">
        <v>49</v>
      </c>
      <c r="HU20" s="7" t="n">
        <v>46</v>
      </c>
      <c r="HV20" s="7" t="n">
        <v>43</v>
      </c>
      <c r="HW20" s="7" t="n">
        <v>36</v>
      </c>
      <c r="HX20" s="7" t="n">
        <v>33</v>
      </c>
      <c r="HY20" s="7" t="n">
        <v>55</v>
      </c>
      <c r="HZ20" s="7" t="n">
        <v>30</v>
      </c>
      <c r="IA20" s="7" t="n">
        <v>21</v>
      </c>
      <c r="IB20" s="7" t="n">
        <v>23</v>
      </c>
      <c r="IC20" s="7" t="n">
        <v>32</v>
      </c>
      <c r="ID20" s="7" t="n">
        <v>40</v>
      </c>
      <c r="IE20" s="16" t="n">
        <v>39</v>
      </c>
      <c r="IF20" s="7" t="n">
        <v>35</v>
      </c>
      <c r="IG20" s="7" t="n">
        <v>30</v>
      </c>
      <c r="IH20" s="7" t="n">
        <v>34</v>
      </c>
      <c r="II20" s="7" t="n">
        <v>34</v>
      </c>
      <c r="IJ20" s="7" t="n">
        <v>35</v>
      </c>
      <c r="IK20" s="7" t="n">
        <v>44</v>
      </c>
      <c r="IL20" s="7" t="n">
        <v>42</v>
      </c>
      <c r="IM20" s="7" t="n">
        <v>42</v>
      </c>
      <c r="IN20" s="7" t="n">
        <v>43</v>
      </c>
      <c r="IO20" s="7" t="n">
        <v>40</v>
      </c>
      <c r="IP20" s="7" t="n">
        <v>40</v>
      </c>
      <c r="IQ20" s="7"/>
      <c r="IR20" s="7"/>
      <c r="IS20" s="7"/>
      <c r="IT20" s="7"/>
      <c r="IU20" s="7"/>
      <c r="IV20" s="7"/>
      <c r="IW20" s="7"/>
      <c r="IX20" s="7"/>
      <c r="IY20" s="7"/>
      <c r="IZ20" s="7"/>
    </row>
    <row r="21" customFormat="false" ht="22.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 t="s">
        <v>300</v>
      </c>
      <c r="AH21" s="7"/>
      <c r="AI21" s="7"/>
      <c r="AJ21" s="7" t="s">
        <v>301</v>
      </c>
      <c r="AK21" s="7" t="s">
        <v>302</v>
      </c>
      <c r="AL21" s="7" t="n">
        <v>5</v>
      </c>
      <c r="AM21" s="7"/>
      <c r="AN21" s="7"/>
      <c r="AO21" s="7"/>
      <c r="AP21" s="7"/>
      <c r="AQ21" s="7" t="s">
        <v>303</v>
      </c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 t="s">
        <v>304</v>
      </c>
      <c r="BK21" s="7" t="s">
        <v>305</v>
      </c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 t="s">
        <v>306</v>
      </c>
      <c r="EZ21" s="7"/>
      <c r="FA21" s="7"/>
      <c r="FB21" s="7"/>
      <c r="FC21" s="7" t="s">
        <v>307</v>
      </c>
      <c r="FD21" s="7" t="s">
        <v>308</v>
      </c>
      <c r="FE21" s="7"/>
      <c r="FF21" s="7"/>
      <c r="FG21" s="7" t="s">
        <v>309</v>
      </c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 t="s">
        <v>310</v>
      </c>
      <c r="HI21" s="7"/>
      <c r="HJ21" s="7"/>
      <c r="HK21" s="7"/>
      <c r="HL21" s="7" t="s">
        <v>311</v>
      </c>
      <c r="HM21" s="7" t="s">
        <v>312</v>
      </c>
      <c r="HN21" s="7" t="s">
        <v>313</v>
      </c>
      <c r="HO21" s="7"/>
      <c r="HP21" s="7" t="s">
        <v>314</v>
      </c>
      <c r="HQ21" s="7"/>
      <c r="HR21" s="7"/>
      <c r="HS21" s="7"/>
      <c r="HT21" s="7"/>
      <c r="HU21" s="7" t="s">
        <v>315</v>
      </c>
      <c r="HV21" s="7"/>
      <c r="HW21" s="7" t="s">
        <v>316</v>
      </c>
      <c r="HX21" s="7" t="s">
        <v>317</v>
      </c>
      <c r="HY21" s="7"/>
      <c r="HZ21" s="7"/>
      <c r="IA21" s="7" t="s">
        <v>318</v>
      </c>
      <c r="IB21" s="7"/>
      <c r="IC21" s="7"/>
      <c r="ID21" s="7"/>
      <c r="IE21" s="7" t="s">
        <v>319</v>
      </c>
      <c r="IF21" s="7"/>
      <c r="IG21" s="7"/>
      <c r="IH21" s="7"/>
      <c r="II21" s="7"/>
      <c r="IJ21" s="7"/>
      <c r="IK21" s="7"/>
      <c r="IL21" s="7" t="s">
        <v>316</v>
      </c>
      <c r="IM21" s="7"/>
      <c r="IN21" s="7"/>
      <c r="IO21" s="7"/>
      <c r="IP21" s="7" t="n">
        <v>3</v>
      </c>
      <c r="IQ21" s="7"/>
      <c r="IR21" s="7"/>
      <c r="IS21" s="7"/>
      <c r="IT21" s="7"/>
      <c r="IU21" s="7"/>
      <c r="IV21" s="7"/>
      <c r="IW21" s="7"/>
      <c r="IX21" s="7"/>
      <c r="IY21" s="7"/>
      <c r="IZ21" s="7"/>
    </row>
    <row r="22" customFormat="false" ht="22.5" hidden="false" customHeight="true" outlineLevel="0" collapsed="false">
      <c r="A22" s="15" t="s">
        <v>320</v>
      </c>
      <c r="B22" s="7" t="n">
        <f aca="false">SUM(B11:B20)</f>
        <v>513</v>
      </c>
      <c r="C22" s="7" t="n">
        <f aca="false">SUM(C11:C20)</f>
        <v>550</v>
      </c>
      <c r="D22" s="7" t="n">
        <f aca="false">SUM(D11:D20)</f>
        <v>537</v>
      </c>
      <c r="E22" s="7" t="n">
        <f aca="false">SUM(E11:E20)</f>
        <v>523</v>
      </c>
      <c r="F22" s="7" t="n">
        <f aca="false">SUM(F11:F20)</f>
        <v>563</v>
      </c>
      <c r="G22" s="7" t="n">
        <f aca="false">SUM(G11:G20)</f>
        <v>511</v>
      </c>
      <c r="H22" s="7" t="n">
        <f aca="false">SUM(H11:H20)</f>
        <v>509</v>
      </c>
      <c r="I22" s="7" t="n">
        <f aca="false">SUM(I11:I20)</f>
        <v>545</v>
      </c>
      <c r="J22" s="7" t="n">
        <f aca="false">SUM(J11:J20)</f>
        <v>535</v>
      </c>
      <c r="K22" s="7" t="n">
        <f aca="false">SUM(K11:K20)</f>
        <v>504</v>
      </c>
      <c r="L22" s="7" t="n">
        <f aca="false">SUM(L11:L20)</f>
        <v>511</v>
      </c>
      <c r="M22" s="7" t="n">
        <f aca="false">SUM(M11:M20)</f>
        <v>527</v>
      </c>
      <c r="N22" s="7" t="n">
        <f aca="false">SUM(N11:N20)</f>
        <v>491</v>
      </c>
      <c r="O22" s="7" t="n">
        <f aca="false">SUM(O11:O20)</f>
        <v>499</v>
      </c>
      <c r="P22" s="7" t="n">
        <f aca="false">SUM(P11:P20)</f>
        <v>487</v>
      </c>
      <c r="Q22" s="7" t="n">
        <f aca="false">SUM(Q11:Q20)</f>
        <v>506</v>
      </c>
      <c r="R22" s="7" t="n">
        <f aca="false">SUM(R11:R20)</f>
        <v>552</v>
      </c>
      <c r="S22" s="7" t="n">
        <f aca="false">SUM(S11:S20)</f>
        <v>517</v>
      </c>
      <c r="T22" s="7" t="n">
        <f aca="false">SUM(T11:T20)</f>
        <v>504</v>
      </c>
      <c r="U22" s="7" t="n">
        <f aca="false">SUM(U11:U20)</f>
        <v>440</v>
      </c>
      <c r="V22" s="7" t="n">
        <f aca="false">SUM(V11:V20)</f>
        <v>527</v>
      </c>
      <c r="W22" s="7" t="n">
        <f aca="false">SUM(W11:W20)</f>
        <v>542</v>
      </c>
      <c r="X22" s="7" t="n">
        <f aca="false">SUM(X11:X20)</f>
        <v>501</v>
      </c>
      <c r="Y22" s="7" t="n">
        <f aca="false">SUM(Y11:Y20)</f>
        <v>517</v>
      </c>
      <c r="Z22" s="7" t="n">
        <f aca="false">SUM(Z11:Z20)</f>
        <v>470</v>
      </c>
      <c r="AA22" s="7" t="n">
        <f aca="false">SUM(AA11:AA20)</f>
        <v>496</v>
      </c>
      <c r="AB22" s="7" t="n">
        <f aca="false">SUM(AB11:AB20)</f>
        <v>510</v>
      </c>
      <c r="AC22" s="7" t="n">
        <f aca="false">SUM(AC11:AC20)</f>
        <v>487</v>
      </c>
      <c r="AD22" s="7" t="n">
        <f aca="false">SUM(AD11:AD20)</f>
        <v>481</v>
      </c>
      <c r="AE22" s="7" t="n">
        <f aca="false">SUM(AE11:AE20)</f>
        <v>411</v>
      </c>
      <c r="AF22" s="7" t="n">
        <f aca="false">SUM(AF11:AF20)</f>
        <v>484</v>
      </c>
      <c r="AG22" s="7" t="n">
        <f aca="false">SUM(AG11:AG20)</f>
        <v>480</v>
      </c>
      <c r="AH22" s="7" t="n">
        <f aca="false">SUM(AH11:AH20)</f>
        <v>462</v>
      </c>
      <c r="AI22" s="7" t="n">
        <f aca="false">SUM(AI11:AI20)</f>
        <v>474</v>
      </c>
      <c r="AJ22" s="7" t="n">
        <f aca="false">SUM(AJ11:AJ20)</f>
        <v>480</v>
      </c>
      <c r="AK22" s="7" t="n">
        <f aca="false">SUM(AK11:AK20)</f>
        <v>483</v>
      </c>
      <c r="AL22" s="7" t="n">
        <f aca="false">SUM(AL11:AL21)</f>
        <v>498</v>
      </c>
      <c r="AM22" s="7" t="n">
        <f aca="false">SUM(AM11:AM20)</f>
        <v>474</v>
      </c>
      <c r="AN22" s="7" t="n">
        <f aca="false">SUM(AN11:AN21)</f>
        <v>473</v>
      </c>
      <c r="AO22" s="7" t="n">
        <f aca="false">SUM(AO11:AO21)</f>
        <v>476</v>
      </c>
      <c r="AP22" s="7" t="n">
        <f aca="false">SUM(AP11:AP20)</f>
        <v>473</v>
      </c>
      <c r="AQ22" s="7" t="n">
        <f aca="false">SUM(AQ11:AQ21)</f>
        <v>489</v>
      </c>
      <c r="AR22" s="7" t="n">
        <f aca="false">SUM(AR11:AR21)</f>
        <v>482</v>
      </c>
      <c r="AS22" s="7" t="n">
        <f aca="false">SUM(AS11:AS20)</f>
        <v>478</v>
      </c>
      <c r="AT22" s="7" t="n">
        <f aca="false">SUM(AT11:AT20)</f>
        <v>485</v>
      </c>
      <c r="AU22" s="7" t="n">
        <f aca="false">SUM(AU11:AU20)</f>
        <v>489</v>
      </c>
      <c r="AV22" s="7" t="n">
        <f aca="false">SUM(AV11:AV20)</f>
        <v>433</v>
      </c>
      <c r="AW22" s="7" t="n">
        <f aca="false">SUM(AW11:AW20)</f>
        <v>458</v>
      </c>
      <c r="AX22" s="7" t="n">
        <f aca="false">SUM(AX11:AX20)</f>
        <v>450</v>
      </c>
      <c r="AY22" s="7" t="n">
        <f aca="false">SUM(AY11:AY20)</f>
        <v>440</v>
      </c>
      <c r="AZ22" s="7" t="n">
        <f aca="false">SUM(AZ11:AZ20)</f>
        <v>454</v>
      </c>
      <c r="BA22" s="7" t="n">
        <f aca="false">SUM(BA11:BA20)</f>
        <v>457</v>
      </c>
      <c r="BB22" s="7" t="n">
        <f aca="false">SUM(BB11:BB20)</f>
        <v>463</v>
      </c>
      <c r="BC22" s="7" t="n">
        <f aca="false">SUM(BC11:BC20)</f>
        <v>452</v>
      </c>
      <c r="BD22" s="7" t="n">
        <f aca="false">SUM(BD11:BD20)</f>
        <v>464</v>
      </c>
      <c r="BE22" s="7" t="n">
        <f aca="false">SUM(BE11:BE20)</f>
        <v>459</v>
      </c>
      <c r="BF22" s="7" t="n">
        <f aca="false">SUM(BF11:BF20)</f>
        <v>461</v>
      </c>
      <c r="BG22" s="7" t="n">
        <f aca="false">SUM(BG11:BG20)</f>
        <v>450</v>
      </c>
      <c r="BH22" s="7" t="n">
        <f aca="false">SUM(BH11:BH20)</f>
        <v>448</v>
      </c>
      <c r="BI22" s="7" t="n">
        <f aca="false">SUM(BI11:BI20)</f>
        <v>441</v>
      </c>
      <c r="BJ22" s="7" t="n">
        <f aca="false">SUM(BJ11:BJ21)</f>
        <v>436</v>
      </c>
      <c r="BK22" s="7" t="n">
        <f aca="false">SUM(BK11:BK21)</f>
        <v>415</v>
      </c>
      <c r="BL22" s="7" t="n">
        <f aca="false">SUM(BL11:BL20)</f>
        <v>430</v>
      </c>
      <c r="BM22" s="7" t="n">
        <f aca="false">SUM(BM11:BM20)</f>
        <v>428</v>
      </c>
      <c r="BN22" s="7" t="n">
        <f aca="false">SUM(BN11:BN20)</f>
        <v>464</v>
      </c>
      <c r="BO22" s="7" t="n">
        <f aca="false">SUM(BO11:BO20)</f>
        <v>441</v>
      </c>
      <c r="BP22" s="7" t="n">
        <f aca="false">SUM(BP11:BP20)</f>
        <v>437</v>
      </c>
      <c r="BQ22" s="7" t="n">
        <f aca="false">SUM(BQ11:BQ20)</f>
        <v>435</v>
      </c>
      <c r="BR22" s="7" t="n">
        <f aca="false">SUM(BR11:BR20)</f>
        <v>414</v>
      </c>
      <c r="BS22" s="7" t="n">
        <f aca="false">SUM(BS11:BS20)</f>
        <v>414</v>
      </c>
      <c r="BT22" s="7" t="n">
        <f aca="false">SUM(BT11:BT20)</f>
        <v>419</v>
      </c>
      <c r="BU22" s="7" t="n">
        <f aca="false">SUM(BU11:BU20)</f>
        <v>412</v>
      </c>
      <c r="BV22" s="7" t="n">
        <f aca="false">SUM(BV11:BV20)</f>
        <v>377</v>
      </c>
      <c r="BW22" s="7" t="n">
        <f aca="false">SUM(BW11:BW20)</f>
        <v>403</v>
      </c>
      <c r="BX22" s="7" t="n">
        <f aca="false">SUM(BX11:BX20)</f>
        <v>398</v>
      </c>
      <c r="BY22" s="7" t="n">
        <f aca="false">SUM(BY11:BY20)</f>
        <v>416</v>
      </c>
      <c r="BZ22" s="7" t="n">
        <f aca="false">SUM(BZ11:BZ20)</f>
        <v>416</v>
      </c>
      <c r="CA22" s="7" t="n">
        <f aca="false">SUM(CA11:CA20)</f>
        <v>412</v>
      </c>
      <c r="CB22" s="7" t="n">
        <f aca="false">SUM(CB11:CB20)</f>
        <v>412</v>
      </c>
      <c r="CC22" s="7" t="n">
        <f aca="false">SUM(CC11:CC20)</f>
        <v>412</v>
      </c>
      <c r="CD22" s="7" t="n">
        <f aca="false">SUM(CD11:CD20)</f>
        <v>417</v>
      </c>
      <c r="CE22" s="7" t="n">
        <f aca="false">SUM(CE11:CE20)</f>
        <v>399</v>
      </c>
      <c r="CF22" s="7" t="n">
        <f aca="false">SUM(CF11:CF20)</f>
        <v>424</v>
      </c>
      <c r="CG22" s="7" t="n">
        <f aca="false">SUM(CG11:CG20)</f>
        <v>426</v>
      </c>
      <c r="CH22" s="7" t="n">
        <f aca="false">SUM(CH11:CH20)</f>
        <v>398</v>
      </c>
      <c r="CI22" s="7" t="n">
        <f aca="false">SUM(CI11:CI20)</f>
        <v>413</v>
      </c>
      <c r="CJ22" s="7" t="n">
        <f aca="false">SUM(CJ11:CJ20)</f>
        <v>421</v>
      </c>
      <c r="CK22" s="7" t="n">
        <f aca="false">SUM(CK11:CK20)</f>
        <v>424</v>
      </c>
      <c r="CL22" s="7" t="n">
        <f aca="false">SUM(CL11:CL20)</f>
        <v>411</v>
      </c>
      <c r="CM22" s="7" t="n">
        <f aca="false">SUM(CM11:CM20)</f>
        <v>400</v>
      </c>
      <c r="CN22" s="7" t="n">
        <f aca="false">SUM(CN11:CN20)</f>
        <v>420</v>
      </c>
      <c r="CO22" s="7" t="n">
        <f aca="false">SUM(CO11:CO20)</f>
        <v>427</v>
      </c>
      <c r="CP22" s="7" t="n">
        <f aca="false">SUM(CP11:CP20)</f>
        <v>408</v>
      </c>
      <c r="CQ22" s="7" t="n">
        <f aca="false">SUM(CQ11:CQ20)</f>
        <v>413</v>
      </c>
      <c r="CR22" s="7" t="n">
        <f aca="false">SUM(CR11:CR20)</f>
        <v>419</v>
      </c>
      <c r="CS22" s="7" t="n">
        <f aca="false">SUM(CS11:CS20)</f>
        <v>426</v>
      </c>
      <c r="CT22" s="7" t="n">
        <f aca="false">SUM(CT11:CT20)</f>
        <v>378</v>
      </c>
      <c r="CU22" s="7" t="n">
        <f aca="false">SUM(CU11:CU20)</f>
        <v>431</v>
      </c>
      <c r="CV22" s="7" t="n">
        <f aca="false">SUM(CV11:CV20)</f>
        <v>400</v>
      </c>
      <c r="CW22" s="7" t="n">
        <f aca="false">SUM(CW11:CW20)</f>
        <v>401</v>
      </c>
      <c r="CX22" s="7" t="n">
        <f aca="false">SUM(CX11:CX20)</f>
        <v>413</v>
      </c>
      <c r="CY22" s="7" t="n">
        <f aca="false">SUM(CY11:CY20)</f>
        <v>381</v>
      </c>
      <c r="CZ22" s="7" t="n">
        <f aca="false">SUM(CZ11:CZ20)</f>
        <v>401</v>
      </c>
      <c r="DA22" s="7" t="n">
        <f aca="false">SUM(DA11:DA20)</f>
        <v>421</v>
      </c>
      <c r="DB22" s="7" t="n">
        <f aca="false">SUM(DB11:DB20)</f>
        <v>433</v>
      </c>
      <c r="DC22" s="7" t="n">
        <f aca="false">SUM(DC11:DC20)</f>
        <v>418</v>
      </c>
      <c r="DD22" s="7" t="n">
        <f aca="false">SUM(DD11:DD20)</f>
        <v>433</v>
      </c>
      <c r="DE22" s="7" t="n">
        <f aca="false">SUM(DE11:DE20)</f>
        <v>423</v>
      </c>
      <c r="DF22" s="7" t="n">
        <f aca="false">SUM(DF11:DF20)</f>
        <v>416</v>
      </c>
      <c r="DG22" s="7" t="n">
        <f aca="false">SUM(DG11:DG20)</f>
        <v>416</v>
      </c>
      <c r="DH22" s="7" t="n">
        <f aca="false">SUM(DH11:DH20)</f>
        <v>412</v>
      </c>
      <c r="DI22" s="7" t="n">
        <f aca="false">SUM(DI11:DI20)</f>
        <v>412</v>
      </c>
      <c r="DJ22" s="7" t="n">
        <f aca="false">SUM(DJ11:DJ20)</f>
        <v>412</v>
      </c>
      <c r="DK22" s="7" t="n">
        <f aca="false">SUM(DK11:DK20)</f>
        <v>417</v>
      </c>
      <c r="DL22" s="7" t="n">
        <f aca="false">SUM(DL11:DL20)</f>
        <v>399</v>
      </c>
      <c r="DM22" s="7" t="n">
        <f aca="false">SUM(DM11:DM20)</f>
        <v>424</v>
      </c>
      <c r="DN22" s="7" t="n">
        <f aca="false">SUM(DN11:DN20)</f>
        <v>426</v>
      </c>
      <c r="DO22" s="7" t="n">
        <f aca="false">SUM(DO11:DO20)</f>
        <v>398</v>
      </c>
      <c r="DP22" s="7" t="n">
        <f aca="false">SUM(DP11:DP20)</f>
        <v>421</v>
      </c>
      <c r="DQ22" s="7" t="n">
        <f aca="false">SUM(DQ11:DQ20)</f>
        <v>416</v>
      </c>
      <c r="DR22" s="7" t="n">
        <f aca="false">SUM(DR11:DR20)</f>
        <v>412</v>
      </c>
      <c r="DS22" s="7" t="n">
        <f aca="false">SUM(DS11:DS20)</f>
        <v>412</v>
      </c>
      <c r="DT22" s="7" t="n">
        <f aca="false">SUM(DT11:DT20)</f>
        <v>412</v>
      </c>
      <c r="DU22" s="7" t="n">
        <f aca="false">SUM(DU11:DU20)</f>
        <v>417</v>
      </c>
      <c r="DV22" s="7" t="n">
        <f aca="false">SUM(DV11:DV20)</f>
        <v>399</v>
      </c>
      <c r="DW22" s="7" t="n">
        <f aca="false">SUM(DW11:DW20)</f>
        <v>424</v>
      </c>
      <c r="DX22" s="7" t="n">
        <f aca="false">SUM(DX11:DX20)</f>
        <v>426</v>
      </c>
      <c r="DY22" s="7" t="n">
        <f aca="false">SUM(DY11:DY20)</f>
        <v>398</v>
      </c>
      <c r="DZ22" s="7" t="n">
        <f aca="false">SUM(DZ11:DZ20)</f>
        <v>421</v>
      </c>
      <c r="EA22" s="7" t="n">
        <f aca="false">SUM(EA11:EA20)</f>
        <v>447</v>
      </c>
      <c r="EB22" s="7" t="n">
        <f aca="false">SUM(EB11:EB20)</f>
        <v>433</v>
      </c>
      <c r="EC22" s="7" t="n">
        <f aca="false">SUM(EC11:EC20)</f>
        <v>458</v>
      </c>
      <c r="ED22" s="7" t="n">
        <f aca="false">SUM(ED11:ED20)</f>
        <v>422</v>
      </c>
      <c r="EE22" s="7" t="n">
        <f aca="false">SUM(EE11:EE20)</f>
        <v>419</v>
      </c>
      <c r="EF22" s="7" t="n">
        <f aca="false">SUM(EF11:EF20)</f>
        <v>437</v>
      </c>
      <c r="EG22" s="7" t="n">
        <f aca="false">SUM(EG11:EG20)</f>
        <v>431</v>
      </c>
      <c r="EH22" s="7" t="n">
        <f aca="false">SUM(EH11:EH20)</f>
        <v>430</v>
      </c>
      <c r="EI22" s="7" t="n">
        <f aca="false">SUM(EI11:EI20)</f>
        <v>424</v>
      </c>
      <c r="EJ22" s="7" t="n">
        <f aca="false">SUM(EJ11:EJ20)</f>
        <v>399</v>
      </c>
      <c r="EK22" s="7" t="n">
        <f aca="false">SUM(EK11:EK20)</f>
        <v>392</v>
      </c>
      <c r="EL22" s="7" t="n">
        <f aca="false">SUM(EL11:EL20)</f>
        <v>420</v>
      </c>
      <c r="EM22" s="7" t="n">
        <f aca="false">SUM(EM11:EM20)</f>
        <v>421</v>
      </c>
      <c r="EN22" s="7" t="n">
        <f aca="false">SUM(EN11:EN20)</f>
        <v>406</v>
      </c>
      <c r="EO22" s="7" t="n">
        <f aca="false">SUM(EO11:EO20)</f>
        <v>413</v>
      </c>
      <c r="EP22" s="7" t="n">
        <f aca="false">SUM(EP11:EP20)</f>
        <v>414</v>
      </c>
      <c r="EQ22" s="7" t="n">
        <f aca="false">SUM(EQ11:EQ20)</f>
        <v>422</v>
      </c>
      <c r="ER22" s="7" t="n">
        <f aca="false">SUM(ER11:ER20)</f>
        <v>420</v>
      </c>
      <c r="ES22" s="7" t="n">
        <f aca="false">SUM(ES11:ES20)</f>
        <v>431</v>
      </c>
      <c r="ET22" s="7" t="n">
        <f aca="false">SUM(ET11:ET20)</f>
        <v>418</v>
      </c>
      <c r="EU22" s="7" t="n">
        <f aca="false">SUM(EU11:EU20)</f>
        <v>427</v>
      </c>
      <c r="EV22" s="7" t="n">
        <f aca="false">SUM(EV11:EV20)</f>
        <v>408</v>
      </c>
      <c r="EW22" s="7" t="n">
        <f aca="false">SUM(EW11:EW20)</f>
        <v>410</v>
      </c>
      <c r="EX22" s="7" t="n">
        <f aca="false">SUM(EX11:EX20)</f>
        <v>422</v>
      </c>
      <c r="EY22" s="7" t="n">
        <f aca="false">SUM(EY11:EY21)</f>
        <v>431</v>
      </c>
      <c r="EZ22" s="7" t="n">
        <f aca="false">SUM(EZ11:EZ20)</f>
        <v>417</v>
      </c>
      <c r="FA22" s="7" t="n">
        <f aca="false">SUM(FA11:FA20)</f>
        <v>427</v>
      </c>
      <c r="FB22" s="7" t="n">
        <f aca="false">SUM(FB11:FB20)</f>
        <v>424</v>
      </c>
      <c r="FC22" s="7" t="n">
        <f aca="false">SUM(FC11:FC21)</f>
        <v>420</v>
      </c>
      <c r="FD22" s="7" t="n">
        <f aca="false">SUM(FD11:FD21)</f>
        <v>420</v>
      </c>
      <c r="FE22" s="7" t="n">
        <f aca="false">SUM(FE11:FE20)</f>
        <v>408</v>
      </c>
      <c r="FF22" s="7" t="n">
        <f aca="false">SUM(FF11:FF20)</f>
        <v>430</v>
      </c>
      <c r="FG22" s="7" t="n">
        <f aca="false">SUM(FG11:FG21)</f>
        <v>434</v>
      </c>
      <c r="FH22" s="7" t="n">
        <f aca="false">SUM(FH11:FH20)</f>
        <v>407</v>
      </c>
      <c r="FI22" s="7" t="n">
        <f aca="false">SUM(FI11:FI20)</f>
        <v>430</v>
      </c>
      <c r="FJ22" s="7" t="n">
        <f aca="false">SUM(FJ11:FJ20)</f>
        <v>407</v>
      </c>
      <c r="FK22" s="7" t="n">
        <f aca="false">SUM(FK11:FK20)</f>
        <v>419</v>
      </c>
      <c r="FL22" s="7" t="n">
        <f aca="false">SUM(FL11:FL20)</f>
        <v>424</v>
      </c>
      <c r="FM22" s="7" t="n">
        <f aca="false">SUM(FM11:FM20)</f>
        <v>424</v>
      </c>
      <c r="FN22" s="7" t="n">
        <f aca="false">SUM(FN11:FN20)</f>
        <v>380</v>
      </c>
      <c r="FO22" s="17" t="n">
        <f aca="false">SUM(FO10:FO20)</f>
        <v>414</v>
      </c>
      <c r="FP22" s="17" t="n">
        <f aca="false">SUM(FP10:FP20)</f>
        <v>421</v>
      </c>
      <c r="FQ22" s="17" t="n">
        <f aca="false">SUM(FQ10:FQ20)</f>
        <v>395</v>
      </c>
      <c r="FR22" s="17" t="n">
        <f aca="false">SUM(FR10:FR20)</f>
        <v>421</v>
      </c>
      <c r="FS22" s="7" t="n">
        <f aca="false">SUM(FS12:FS20)</f>
        <v>421</v>
      </c>
      <c r="FT22" s="17" t="n">
        <f aca="false">SUM(FT10:FT21)</f>
        <v>384</v>
      </c>
      <c r="FU22" s="17" t="n">
        <f aca="false">SUM(FU10:FU21)</f>
        <v>418</v>
      </c>
      <c r="FV22" s="17" t="n">
        <f aca="false">SUM(FV10:FV21)</f>
        <v>402</v>
      </c>
      <c r="FW22" s="17" t="n">
        <f aca="false">SUM(FW10:FW21)</f>
        <v>399</v>
      </c>
      <c r="FX22" s="17" t="n">
        <f aca="false">SUM(FX10:FX21)</f>
        <v>413</v>
      </c>
      <c r="FY22" s="17" t="n">
        <f aca="false">SUM(FY10:FY21)</f>
        <v>415</v>
      </c>
      <c r="FZ22" s="17" t="n">
        <f aca="false">SUM(FZ10:FZ21)</f>
        <v>411</v>
      </c>
      <c r="GA22" s="17" t="n">
        <f aca="false">SUM(GA10:GA21)</f>
        <v>412</v>
      </c>
      <c r="GB22" s="17" t="n">
        <f aca="false">SUM(GB10:GB21)</f>
        <v>388</v>
      </c>
      <c r="GC22" s="17" t="n">
        <f aca="false">SUM(GC10:GC21)</f>
        <v>409</v>
      </c>
      <c r="GD22" s="7" t="n">
        <f aca="false">SUM(GD11:GD20)</f>
        <v>409</v>
      </c>
      <c r="GE22" s="7" t="n">
        <f aca="false">SUM(GE11:GE20)</f>
        <v>407</v>
      </c>
      <c r="GF22" s="7" t="n">
        <f aca="false">SUM(GF11:GF20)</f>
        <v>408</v>
      </c>
      <c r="GG22" s="7" t="n">
        <f aca="false">SUM(GG11:GG20)</f>
        <v>402</v>
      </c>
      <c r="GH22" s="7" t="n">
        <f aca="false">SUM(GH11:GH20)</f>
        <v>394</v>
      </c>
      <c r="GI22" s="7" t="n">
        <f aca="false">SUM(GI11:GI20)</f>
        <v>401</v>
      </c>
      <c r="GJ22" s="7" t="n">
        <f aca="false">SUM(GJ11:GJ20)</f>
        <v>410</v>
      </c>
      <c r="GK22" s="7" t="n">
        <f aca="false">SUM(GK11:GK20)</f>
        <v>427</v>
      </c>
      <c r="GL22" s="7" t="n">
        <f aca="false">SUM(GL11:GL20)</f>
        <v>410</v>
      </c>
      <c r="GM22" s="7" t="n">
        <f aca="false">SUM(GM11:GM20)</f>
        <v>394</v>
      </c>
      <c r="GN22" s="7" t="n">
        <f aca="false">SUM(GN12:GN20)</f>
        <v>423</v>
      </c>
      <c r="GO22" s="7" t="n">
        <f aca="false">SUM(GO12:GO21)</f>
        <v>423</v>
      </c>
      <c r="GP22" s="7" t="n">
        <f aca="false">SUM(GP11:GP21)</f>
        <v>394</v>
      </c>
      <c r="GQ22" s="7" t="n">
        <f aca="false">SUM(GQ12:GQ21)</f>
        <v>425</v>
      </c>
      <c r="GR22" s="7" t="n">
        <f aca="false">SUM(GR11:GR21)</f>
        <v>417</v>
      </c>
      <c r="GS22" s="7" t="n">
        <f aca="false">SUM(GS11:GS21)</f>
        <v>427</v>
      </c>
      <c r="GT22" s="7" t="n">
        <f aca="false">SUM(GT11:GT21)</f>
        <v>421</v>
      </c>
      <c r="GU22" s="7" t="n">
        <f aca="false">SUM(GU11:GU21)</f>
        <v>404</v>
      </c>
      <c r="GV22" s="7" t="n">
        <f aca="false">SUM(GV11:GV21)</f>
        <v>456</v>
      </c>
      <c r="GW22" s="7" t="n">
        <f aca="false">SUM(GW11:GW21)</f>
        <v>422</v>
      </c>
      <c r="GX22" s="7" t="n">
        <f aca="false">SUM(GX11:GX21)</f>
        <v>439</v>
      </c>
      <c r="GY22" s="7" t="n">
        <f aca="false">SUM(GY11:GY21)</f>
        <v>433</v>
      </c>
      <c r="GZ22" s="7" t="n">
        <f aca="false">SUM(GZ11:GZ21)</f>
        <v>427</v>
      </c>
      <c r="HA22" s="7" t="n">
        <f aca="false">SUM(HA11:HA21)</f>
        <v>431</v>
      </c>
      <c r="HB22" s="7" t="n">
        <f aca="false">SUM(HB11:HB21)</f>
        <v>426</v>
      </c>
      <c r="HC22" s="7" t="n">
        <f aca="false">SUM(HC11:HC21)</f>
        <v>424</v>
      </c>
      <c r="HD22" s="7" t="n">
        <f aca="false">SUM(HD11:HD21)</f>
        <v>426</v>
      </c>
      <c r="HE22" s="7" t="n">
        <f aca="false">SUM(HE11:HE21)</f>
        <v>424</v>
      </c>
      <c r="HF22" s="7" t="n">
        <f aca="false">SUM(HF11:HF21)</f>
        <v>406</v>
      </c>
      <c r="HG22" s="7" t="n">
        <f aca="false">SUM(HG11:HG21)</f>
        <v>404</v>
      </c>
      <c r="HH22" s="7" t="n">
        <f aca="false">SUM(HH11:HH21)</f>
        <v>421</v>
      </c>
      <c r="HI22" s="7" t="n">
        <f aca="false">SUM(HI11:HI21)</f>
        <v>444</v>
      </c>
      <c r="HJ22" s="17" t="n">
        <f aca="false">SUM(HJ10:HJ21)</f>
        <v>422</v>
      </c>
      <c r="HK22" s="17" t="n">
        <f aca="false">SUM(HK10:HK21)</f>
        <v>437</v>
      </c>
      <c r="HL22" s="17" t="n">
        <f aca="false">SUM(HL10:HL21)</f>
        <v>422</v>
      </c>
      <c r="HM22" s="17" t="n">
        <f aca="false">SUM(HM10:HM21)</f>
        <v>417</v>
      </c>
      <c r="HN22" s="17" t="n">
        <f aca="false">SUM(HN10:HN21)</f>
        <v>434</v>
      </c>
      <c r="HO22" s="17" t="n">
        <f aca="false">SUM(HO10:HO21)</f>
        <v>429</v>
      </c>
      <c r="HP22" s="17" t="n">
        <f aca="false">SUM(HP10:HP21)</f>
        <v>431</v>
      </c>
      <c r="HQ22" s="17" t="n">
        <f aca="false">SUM(HQ10:HQ21)</f>
        <v>414</v>
      </c>
      <c r="HR22" s="17" t="n">
        <f aca="false">SUM(HR10:HR21)</f>
        <v>425</v>
      </c>
      <c r="HS22" s="7" t="n">
        <f aca="false">SUM(HS11:HS21)</f>
        <v>423</v>
      </c>
      <c r="HT22" s="7" t="n">
        <f aca="false">SUM(HT11:HT21)</f>
        <v>417</v>
      </c>
      <c r="HU22" s="16" t="n">
        <f aca="false">SUM(HU11:HU21)</f>
        <v>386</v>
      </c>
      <c r="HV22" s="7" t="n">
        <f aca="false">SUM(HV11:HV21)</f>
        <v>370</v>
      </c>
      <c r="HW22" s="16" t="n">
        <f aca="false">SUM(HW11:HW21)</f>
        <v>333</v>
      </c>
      <c r="HX22" s="16" t="n">
        <f aca="false">SUM(HX11:HX21)</f>
        <v>313</v>
      </c>
      <c r="HY22" s="7" t="n">
        <f aca="false">SUM(HY11:HY21)</f>
        <v>267</v>
      </c>
      <c r="HZ22" s="7" t="n">
        <f aca="false">SUM(HZ11:HZ21)</f>
        <v>202</v>
      </c>
      <c r="IA22" s="7" t="n">
        <f aca="false">SUM(IA11:IA21)</f>
        <v>155</v>
      </c>
      <c r="IB22" s="7" t="n">
        <f aca="false">SUM(IB11:IB21)</f>
        <v>117</v>
      </c>
      <c r="IC22" s="7" t="n">
        <f aca="false">SUM(IC11:IC21)</f>
        <v>184</v>
      </c>
      <c r="ID22" s="7" t="n">
        <f aca="false">SUM(ID11:ID21)</f>
        <v>211</v>
      </c>
      <c r="IE22" s="7" t="n">
        <f aca="false">SUM(IE11:IE21)</f>
        <v>251</v>
      </c>
      <c r="IF22" s="7" t="n">
        <f aca="false">SUM(IF11:IF21)</f>
        <v>259</v>
      </c>
      <c r="IG22" s="7" t="n">
        <f aca="false">SUM(IG11:IG21)</f>
        <v>212</v>
      </c>
      <c r="IH22" s="7" t="n">
        <f aca="false">SUM(IH11:IH21)</f>
        <v>220</v>
      </c>
      <c r="II22" s="7" t="n">
        <f aca="false">SUM(II11:II21)</f>
        <v>209</v>
      </c>
      <c r="IJ22" s="7" t="n">
        <f aca="false">SUM(IJ11:IJ21)</f>
        <v>284</v>
      </c>
      <c r="IK22" s="7" t="n">
        <f aca="false">SUM(IK11:IK21)</f>
        <v>285</v>
      </c>
      <c r="IL22" s="7" t="n">
        <f aca="false">SUM(IL11:IL21)</f>
        <v>290</v>
      </c>
      <c r="IM22" s="7" t="n">
        <f aca="false">SUM(IM11:IM21)</f>
        <v>339</v>
      </c>
      <c r="IN22" s="7" t="n">
        <f aca="false">SUM(IN11:IN21)</f>
        <v>333</v>
      </c>
      <c r="IO22" s="7" t="n">
        <f aca="false">SUM(IO12:IO20)</f>
        <v>338</v>
      </c>
      <c r="IP22" s="7" t="n">
        <f aca="false">SUM(IP12:IP20)</f>
        <v>344</v>
      </c>
      <c r="IQ22" s="7"/>
      <c r="IR22" s="7"/>
      <c r="IS22" s="7"/>
      <c r="IT22" s="7"/>
      <c r="IU22" s="7"/>
      <c r="IV22" s="7"/>
      <c r="IW22" s="7"/>
      <c r="IX22" s="7"/>
      <c r="IY22" s="7"/>
      <c r="IZ22" s="7"/>
    </row>
    <row r="23" customFormat="false" ht="22.5" hidden="false" customHeight="true" outlineLevel="0" collapsed="false">
      <c r="A23" s="15" t="s">
        <v>321</v>
      </c>
      <c r="B23" s="7" t="n">
        <v>1</v>
      </c>
      <c r="C23" s="7" t="n">
        <v>3</v>
      </c>
      <c r="D23" s="7"/>
      <c r="E23" s="7"/>
      <c r="F23" s="7"/>
      <c r="G23" s="7" t="n">
        <v>1</v>
      </c>
      <c r="H23" s="7" t="n">
        <v>3</v>
      </c>
      <c r="I23" s="7" t="n">
        <v>5</v>
      </c>
      <c r="J23" s="7" t="n">
        <v>7</v>
      </c>
      <c r="K23" s="7" t="n">
        <v>4</v>
      </c>
      <c r="L23" s="7" t="n">
        <v>2</v>
      </c>
      <c r="M23" s="7"/>
      <c r="N23" s="7" t="n">
        <v>5</v>
      </c>
      <c r="O23" s="7" t="n">
        <v>1</v>
      </c>
      <c r="P23" s="7" t="n">
        <v>2</v>
      </c>
      <c r="Q23" s="7" t="n">
        <v>4</v>
      </c>
      <c r="R23" s="7" t="n">
        <v>5</v>
      </c>
      <c r="S23" s="7" t="n">
        <v>4</v>
      </c>
      <c r="T23" s="7" t="n">
        <v>1</v>
      </c>
      <c r="U23" s="7" t="n">
        <v>2</v>
      </c>
      <c r="V23" s="7" t="n">
        <v>4</v>
      </c>
      <c r="W23" s="7" t="n">
        <v>2</v>
      </c>
      <c r="X23" s="7" t="n">
        <v>2</v>
      </c>
      <c r="Y23" s="7" t="n">
        <v>7</v>
      </c>
      <c r="Z23" s="7" t="n">
        <v>8</v>
      </c>
      <c r="AA23" s="7" t="n">
        <v>8</v>
      </c>
      <c r="AB23" s="7" t="n">
        <v>3</v>
      </c>
      <c r="AC23" s="7"/>
      <c r="AD23" s="7"/>
      <c r="AE23" s="7" t="n">
        <v>3</v>
      </c>
      <c r="AF23" s="7" t="n">
        <v>3</v>
      </c>
      <c r="AG23" s="7" t="n">
        <v>1</v>
      </c>
      <c r="AH23" s="7" t="n">
        <v>1</v>
      </c>
      <c r="AI23" s="7"/>
      <c r="AJ23" s="7" t="n">
        <v>1</v>
      </c>
      <c r="AK23" s="7" t="n">
        <v>3</v>
      </c>
      <c r="AL23" s="7" t="n">
        <v>1</v>
      </c>
      <c r="AM23" s="7" t="n">
        <v>7</v>
      </c>
      <c r="AN23" s="7" t="n">
        <v>5</v>
      </c>
      <c r="AO23" s="7" t="n">
        <v>7</v>
      </c>
      <c r="AP23" s="7" t="n">
        <v>1</v>
      </c>
      <c r="AQ23" s="7" t="n">
        <v>7</v>
      </c>
      <c r="AR23" s="7" t="n">
        <v>7</v>
      </c>
      <c r="AS23" s="7" t="n">
        <v>12</v>
      </c>
      <c r="AT23" s="7"/>
      <c r="AU23" s="7"/>
      <c r="AV23" s="7"/>
      <c r="AW23" s="7" t="n">
        <v>4</v>
      </c>
      <c r="AX23" s="7" t="n">
        <v>6</v>
      </c>
      <c r="AY23" s="7" t="n">
        <v>7</v>
      </c>
      <c r="AZ23" s="7" t="n">
        <v>5</v>
      </c>
      <c r="BA23" s="7" t="n">
        <v>7</v>
      </c>
      <c r="BB23" s="7" t="n">
        <v>3</v>
      </c>
      <c r="BC23" s="7" t="n">
        <v>3</v>
      </c>
      <c r="BD23" s="7" t="n">
        <v>5</v>
      </c>
      <c r="BE23" s="7" t="n">
        <v>9</v>
      </c>
      <c r="BF23" s="7" t="n">
        <v>8</v>
      </c>
      <c r="BG23" s="7" t="n">
        <v>5</v>
      </c>
      <c r="BH23" s="7" t="n">
        <v>4</v>
      </c>
      <c r="BI23" s="7" t="n">
        <v>9</v>
      </c>
      <c r="BJ23" s="7" t="n">
        <v>12</v>
      </c>
      <c r="BK23" s="7" t="n">
        <v>13</v>
      </c>
      <c r="BL23" s="7" t="n">
        <v>4</v>
      </c>
      <c r="BM23" s="7" t="n">
        <v>9</v>
      </c>
      <c r="BN23" s="7" t="n">
        <v>11</v>
      </c>
      <c r="BO23" s="7" t="n">
        <v>4</v>
      </c>
      <c r="BP23" s="7" t="n">
        <v>9</v>
      </c>
      <c r="BQ23" s="7" t="n">
        <v>8</v>
      </c>
      <c r="BR23" s="7" t="n">
        <v>16</v>
      </c>
      <c r="BS23" s="7" t="n">
        <v>6</v>
      </c>
      <c r="BT23" s="7" t="n">
        <v>16</v>
      </c>
      <c r="BU23" s="7" t="n">
        <v>8</v>
      </c>
      <c r="BV23" s="7" t="n">
        <v>9</v>
      </c>
      <c r="BW23" s="7" t="n">
        <v>4</v>
      </c>
      <c r="BX23" s="7" t="n">
        <v>13</v>
      </c>
      <c r="BY23" s="7" t="n">
        <v>15</v>
      </c>
      <c r="BZ23" s="7" t="n">
        <v>7</v>
      </c>
      <c r="CA23" s="7" t="n">
        <v>6</v>
      </c>
      <c r="CB23" s="7" t="n">
        <v>3</v>
      </c>
      <c r="CC23" s="7" t="n">
        <v>16</v>
      </c>
      <c r="CD23" s="7" t="n">
        <v>16</v>
      </c>
      <c r="CE23" s="7" t="n">
        <v>14</v>
      </c>
      <c r="CF23" s="7" t="n">
        <v>6</v>
      </c>
      <c r="CG23" s="7" t="n">
        <v>9</v>
      </c>
      <c r="CH23" s="7" t="n">
        <v>16</v>
      </c>
      <c r="CI23" s="7" t="n">
        <v>7</v>
      </c>
      <c r="CJ23" s="7" t="n">
        <v>8</v>
      </c>
      <c r="CK23" s="7" t="n">
        <v>9</v>
      </c>
      <c r="CL23" s="7" t="n">
        <v>10</v>
      </c>
      <c r="CM23" s="7" t="n">
        <v>4</v>
      </c>
      <c r="CN23" s="7" t="n">
        <v>15</v>
      </c>
      <c r="CO23" s="7" t="n">
        <v>7</v>
      </c>
      <c r="CP23" s="7" t="n">
        <v>9</v>
      </c>
      <c r="CQ23" s="7" t="n">
        <v>22</v>
      </c>
      <c r="CR23" s="7" t="n">
        <v>15</v>
      </c>
      <c r="CS23" s="7" t="n">
        <v>5</v>
      </c>
      <c r="CT23" s="7" t="n">
        <v>9</v>
      </c>
      <c r="CU23" s="7" t="n">
        <v>16</v>
      </c>
      <c r="CV23" s="7" t="n">
        <v>20</v>
      </c>
      <c r="CW23" s="7" t="n">
        <v>15</v>
      </c>
      <c r="CX23" s="7" t="n">
        <v>15</v>
      </c>
      <c r="CY23" s="7" t="n">
        <v>21</v>
      </c>
      <c r="CZ23" s="7" t="n">
        <v>17</v>
      </c>
      <c r="DA23" s="7" t="n">
        <v>4</v>
      </c>
      <c r="DB23" s="7" t="n">
        <v>2</v>
      </c>
      <c r="DC23" s="7" t="n">
        <v>7</v>
      </c>
      <c r="DD23" s="7" t="n">
        <v>3</v>
      </c>
      <c r="DE23" s="7" t="n">
        <f aca="false">2+3+1+1+2+1</f>
        <v>10</v>
      </c>
      <c r="DF23" s="7" t="n">
        <v>7</v>
      </c>
      <c r="DG23" s="7" t="n">
        <f aca="false">1+3+1+1+1</f>
        <v>7</v>
      </c>
      <c r="DH23" s="7" t="n">
        <f aca="false">2+1+1+1+1</f>
        <v>6</v>
      </c>
      <c r="DI23" s="7" t="n">
        <f aca="false">1+2</f>
        <v>3</v>
      </c>
      <c r="DJ23" s="7" t="n">
        <f aca="false">4+2+2+2+2+1+3</f>
        <v>16</v>
      </c>
      <c r="DK23" s="7" t="n">
        <f aca="false">4+3+2+3+1+1+1+1</f>
        <v>16</v>
      </c>
      <c r="DL23" s="7" t="n">
        <v>14</v>
      </c>
      <c r="DM23" s="7" t="n">
        <v>6</v>
      </c>
      <c r="DN23" s="7" t="n">
        <v>9</v>
      </c>
      <c r="DO23" s="7" t="n">
        <v>16</v>
      </c>
      <c r="DP23" s="7" t="n">
        <v>8</v>
      </c>
      <c r="DQ23" s="7" t="n">
        <f aca="false">1+3+1+1+1</f>
        <v>7</v>
      </c>
      <c r="DR23" s="7" t="n">
        <f aca="false">2+1+1+1+1</f>
        <v>6</v>
      </c>
      <c r="DS23" s="7" t="n">
        <f aca="false">2+1</f>
        <v>3</v>
      </c>
      <c r="DT23" s="7" t="n">
        <f aca="false">4+2+2+2+2+1+3</f>
        <v>16</v>
      </c>
      <c r="DU23" s="7" t="n">
        <f aca="false">4+3+2+3+1+1+1+1</f>
        <v>16</v>
      </c>
      <c r="DV23" s="7" t="n">
        <f aca="false">3+4+2+3+2</f>
        <v>14</v>
      </c>
      <c r="DW23" s="7" t="n">
        <f aca="false">3+2+1</f>
        <v>6</v>
      </c>
      <c r="DX23" s="7" t="n">
        <f aca="false">1+1+1+1+1+2+2</f>
        <v>9</v>
      </c>
      <c r="DY23" s="7" t="n">
        <f aca="false">2+2+3+1+2+3+3</f>
        <v>16</v>
      </c>
      <c r="DZ23" s="7" t="n">
        <f aca="false">2+4+1+1</f>
        <v>8</v>
      </c>
      <c r="EA23" s="7" t="n">
        <v>6</v>
      </c>
      <c r="EB23" s="7" t="n">
        <v>4</v>
      </c>
      <c r="EC23" s="7" t="n">
        <v>3</v>
      </c>
      <c r="ED23" s="7" t="n">
        <v>6</v>
      </c>
      <c r="EE23" s="7" t="n">
        <v>9</v>
      </c>
      <c r="EF23" s="7" t="n">
        <v>10</v>
      </c>
      <c r="EG23" s="7" t="n">
        <v>6</v>
      </c>
      <c r="EH23" s="7" t="n">
        <v>5</v>
      </c>
      <c r="EI23" s="7" t="n">
        <v>2</v>
      </c>
      <c r="EJ23" s="7" t="n">
        <v>2</v>
      </c>
      <c r="EK23" s="7" t="n">
        <v>6</v>
      </c>
      <c r="EL23" s="7" t="n">
        <v>4</v>
      </c>
      <c r="EM23" s="7" t="n">
        <v>4</v>
      </c>
      <c r="EN23" s="7" t="n">
        <v>6</v>
      </c>
      <c r="EO23" s="7" t="n">
        <v>3</v>
      </c>
      <c r="EP23" s="7" t="n">
        <v>2</v>
      </c>
      <c r="EQ23" s="7" t="n">
        <v>5</v>
      </c>
      <c r="ER23" s="7" t="n">
        <v>6</v>
      </c>
      <c r="ES23" s="7"/>
      <c r="ET23" s="7" t="n">
        <v>6</v>
      </c>
      <c r="EU23" s="7" t="n">
        <v>4</v>
      </c>
      <c r="EV23" s="7" t="n">
        <v>4</v>
      </c>
      <c r="EW23" s="7" t="n">
        <v>2</v>
      </c>
      <c r="EX23" s="7" t="n">
        <v>6</v>
      </c>
      <c r="EY23" s="7" t="n">
        <v>3</v>
      </c>
      <c r="EZ23" s="7" t="n">
        <v>4</v>
      </c>
      <c r="FA23" s="7" t="n">
        <v>4</v>
      </c>
      <c r="FB23" s="7" t="n">
        <v>4</v>
      </c>
      <c r="FC23" s="7" t="n">
        <v>3</v>
      </c>
      <c r="FD23" s="7" t="n">
        <v>6</v>
      </c>
      <c r="FE23" s="7" t="n">
        <v>8</v>
      </c>
      <c r="FF23" s="7" t="n">
        <v>5</v>
      </c>
      <c r="FG23" s="7" t="n">
        <v>7</v>
      </c>
      <c r="FH23" s="7" t="n">
        <v>5</v>
      </c>
      <c r="FI23" s="7" t="n">
        <v>5</v>
      </c>
      <c r="FJ23" s="7"/>
      <c r="FK23" s="7"/>
      <c r="FL23" s="7"/>
      <c r="FM23" s="7" t="n">
        <v>2</v>
      </c>
      <c r="FN23" s="7" t="n">
        <v>2</v>
      </c>
      <c r="FO23" s="7" t="n">
        <v>2</v>
      </c>
      <c r="FP23" s="7" t="n">
        <v>5</v>
      </c>
      <c r="FQ23" s="7" t="n">
        <v>7</v>
      </c>
      <c r="FR23" s="7" t="n">
        <v>2</v>
      </c>
      <c r="FS23" s="7" t="n">
        <v>4</v>
      </c>
      <c r="FT23" s="7" t="n">
        <v>5</v>
      </c>
      <c r="FU23" s="7" t="n">
        <v>5</v>
      </c>
      <c r="FV23" s="7" t="n">
        <v>6</v>
      </c>
      <c r="FW23" s="7" t="n">
        <v>5</v>
      </c>
      <c r="FX23" s="7" t="n">
        <v>4</v>
      </c>
      <c r="FY23" s="7" t="n">
        <v>5</v>
      </c>
      <c r="FZ23" s="7" t="n">
        <v>3</v>
      </c>
      <c r="GA23" s="7" t="n">
        <v>3</v>
      </c>
      <c r="GB23" s="7" t="n">
        <v>8</v>
      </c>
      <c r="GC23" s="7" t="n">
        <v>5</v>
      </c>
      <c r="GD23" s="7" t="n">
        <v>4</v>
      </c>
      <c r="GE23" s="7" t="n">
        <v>4</v>
      </c>
      <c r="GF23" s="7" t="n">
        <v>4</v>
      </c>
      <c r="GG23" s="7"/>
      <c r="GH23" s="7"/>
      <c r="GI23" s="7"/>
      <c r="GJ23" s="7"/>
      <c r="GK23" s="7"/>
      <c r="GL23" s="7"/>
      <c r="GM23" s="7"/>
      <c r="GN23" s="7"/>
      <c r="GO23" s="7" t="n">
        <v>3</v>
      </c>
      <c r="GP23" s="7" t="n">
        <v>1</v>
      </c>
      <c r="GQ23" s="7" t="n">
        <v>3</v>
      </c>
      <c r="GR23" s="7" t="n">
        <v>2</v>
      </c>
      <c r="GS23" s="7" t="n">
        <v>3</v>
      </c>
      <c r="GT23" s="7" t="n">
        <v>3</v>
      </c>
      <c r="GU23" s="7" t="n">
        <v>9</v>
      </c>
      <c r="GV23" s="7" t="n">
        <v>1</v>
      </c>
      <c r="GW23" s="7" t="n">
        <v>2</v>
      </c>
      <c r="GX23" s="7" t="n">
        <v>0</v>
      </c>
      <c r="GY23" s="7" t="n">
        <v>0</v>
      </c>
      <c r="GZ23" s="7" t="n">
        <v>0</v>
      </c>
      <c r="HA23" s="7" t="n">
        <v>1</v>
      </c>
      <c r="HB23" s="7" t="n">
        <v>0</v>
      </c>
      <c r="HC23" s="7" t="n">
        <v>4</v>
      </c>
      <c r="HD23" s="7" t="n">
        <v>5</v>
      </c>
      <c r="HE23" s="7" t="n">
        <v>8</v>
      </c>
      <c r="HF23" s="7" t="n">
        <v>2</v>
      </c>
      <c r="HG23" s="7" t="n">
        <v>2</v>
      </c>
      <c r="HH23" s="7" t="n">
        <v>7</v>
      </c>
      <c r="HI23" s="7" t="n">
        <v>3</v>
      </c>
      <c r="HJ23" s="7" t="n">
        <v>14</v>
      </c>
      <c r="HK23" s="7" t="n">
        <v>2</v>
      </c>
      <c r="HL23" s="7" t="n">
        <v>1</v>
      </c>
      <c r="HM23" s="7" t="n">
        <v>1</v>
      </c>
      <c r="HN23" s="7" t="n">
        <v>2</v>
      </c>
      <c r="HO23" s="7" t="n">
        <v>0</v>
      </c>
      <c r="HP23" s="7" t="n">
        <v>1</v>
      </c>
      <c r="HQ23" s="7" t="n">
        <v>3</v>
      </c>
      <c r="HR23" s="7" t="n">
        <v>7</v>
      </c>
      <c r="HS23" s="7" t="n">
        <v>3</v>
      </c>
      <c r="HT23" s="7" t="n">
        <v>1</v>
      </c>
      <c r="HU23" s="7" t="n">
        <v>2</v>
      </c>
      <c r="HV23" s="7" t="n">
        <v>1</v>
      </c>
      <c r="HW23" s="7" t="n">
        <v>2</v>
      </c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</row>
    <row r="24" customFormat="false" ht="22.5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</row>
    <row r="25" customFormat="false" ht="15.75" hidden="false" customHeight="false" outlineLevel="0" collapsed="false">
      <c r="I25" s="6" t="s">
        <v>322</v>
      </c>
      <c r="X25" s="6" t="s">
        <v>323</v>
      </c>
      <c r="Z25" s="6"/>
      <c r="AC25" s="6" t="s">
        <v>324</v>
      </c>
      <c r="AE25" s="6" t="s">
        <v>325</v>
      </c>
      <c r="FL25" s="18"/>
      <c r="FM25" s="18"/>
      <c r="FN25" s="18"/>
      <c r="FO25" s="18"/>
      <c r="FP25" s="18"/>
      <c r="FQ25" s="18"/>
      <c r="FR25" s="18"/>
    </row>
    <row r="26" customFormat="false" ht="15.7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</row>
  </sheetData>
  <mergeCells count="34">
    <mergeCell ref="B1:H1"/>
    <mergeCell ref="I1:P1"/>
    <mergeCell ref="Q1:X1"/>
    <mergeCell ref="Y1:AF1"/>
    <mergeCell ref="AG1:AN1"/>
    <mergeCell ref="AO1:AV1"/>
    <mergeCell ref="AW1:BD1"/>
    <mergeCell ref="BE1:BL1"/>
    <mergeCell ref="BM1:BT1"/>
    <mergeCell ref="BU1:CB1"/>
    <mergeCell ref="CC1:CJ1"/>
    <mergeCell ref="CK1:CS1"/>
    <mergeCell ref="CT1:DA1"/>
    <mergeCell ref="DB1:DI1"/>
    <mergeCell ref="DJ1:DQ1"/>
    <mergeCell ref="DR1:DY1"/>
    <mergeCell ref="DZ1:EG1"/>
    <mergeCell ref="EH1:EO1"/>
    <mergeCell ref="EP1:EW1"/>
    <mergeCell ref="EX1:FD1"/>
    <mergeCell ref="FE1:FK1"/>
    <mergeCell ref="FL1:FR1"/>
    <mergeCell ref="FS1:FY1"/>
    <mergeCell ref="FZ1:GG1"/>
    <mergeCell ref="GH1:GP1"/>
    <mergeCell ref="GQ1:GW1"/>
    <mergeCell ref="GX1:HD1"/>
    <mergeCell ref="HE1:HK1"/>
    <mergeCell ref="HL1:HR1"/>
    <mergeCell ref="HS1:HY1"/>
    <mergeCell ref="HZ1:IF1"/>
    <mergeCell ref="IG1:IM1"/>
    <mergeCell ref="IN1:IU1"/>
    <mergeCell ref="FL25:FR25"/>
  </mergeCells>
  <dataValidations count="1">
    <dataValidation allowBlank="true" errorStyle="stop" operator="between" showDropDown="true" showErrorMessage="false" showInputMessage="false" sqref="B4:E8 B11:E24" type="custom">
      <formula1>AND(ISNUMBER(B4),(NOT(OR(NOT(ISERROR(DATEVALUE(B4))), AND(ISNUMBER(B4), LEFT(CELL("format", B4))="D")))))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0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2026-02-20T20:42:23Z</dcterms:modified>
  <cp:revision>1</cp:revision>
  <dc:subject/>
  <dc:title/>
</cp:coreProperties>
</file>